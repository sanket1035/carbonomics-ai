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E655167-3D68-4FA5-AECF-93E2074000D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Emission Factors" sheetId="2" r:id="rId1"/>
    <sheet name="QA Validation Log" sheetId="3" r:id="rId2"/>
    <sheet name="Manual Validation" sheetId="4" r:id="rId3"/>
    <sheet name="QA Summary" sheetId="5" r:id="rId4"/>
  </sheets>
  <definedNames>
    <definedName name="_xlnm._FilterDatabase" localSheetId="0" hidden="1">'Emission Factors'!$A$3:$F$13</definedName>
    <definedName name="_xlnm._FilterDatabase" localSheetId="1" hidden="1">'QA Validation Log'!$A$3:$L$17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6" i="4" l="1"/>
  <c r="G39" i="4"/>
  <c r="G38" i="4"/>
  <c r="I38" i="4" s="1"/>
  <c r="K38" i="4" s="1"/>
  <c r="G37" i="4"/>
  <c r="I37" i="4" s="1"/>
  <c r="K37" i="4" s="1"/>
  <c r="G36" i="4"/>
  <c r="I36" i="4" s="1"/>
  <c r="K36" i="4" s="1"/>
  <c r="I35" i="4"/>
  <c r="K35" i="4" s="1"/>
  <c r="G35" i="4"/>
  <c r="I32" i="4"/>
  <c r="K32" i="4" s="1"/>
  <c r="G32" i="4"/>
  <c r="G31" i="4"/>
  <c r="I31" i="4" s="1"/>
  <c r="K31" i="4" s="1"/>
  <c r="G30" i="4"/>
  <c r="I30" i="4" s="1"/>
  <c r="K30" i="4" s="1"/>
  <c r="G29" i="4"/>
  <c r="G33" i="4" s="1"/>
  <c r="G26" i="4"/>
  <c r="I26" i="4" s="1"/>
  <c r="K26" i="4" s="1"/>
  <c r="G25" i="4"/>
  <c r="I25" i="4" s="1"/>
  <c r="K25" i="4" s="1"/>
  <c r="G24" i="4"/>
  <c r="I24" i="4" s="1"/>
  <c r="K24" i="4" s="1"/>
  <c r="G23" i="4"/>
  <c r="G27" i="4" s="1"/>
  <c r="G20" i="4"/>
  <c r="I20" i="4" s="1"/>
  <c r="K20" i="4" s="1"/>
  <c r="G19" i="4"/>
  <c r="I19" i="4" s="1"/>
  <c r="K19" i="4" s="1"/>
  <c r="G18" i="4"/>
  <c r="G21" i="4" s="1"/>
  <c r="G17" i="4"/>
  <c r="I17" i="4" s="1"/>
  <c r="K17" i="4" s="1"/>
  <c r="G14" i="4"/>
  <c r="I14" i="4" s="1"/>
  <c r="K14" i="4" s="1"/>
  <c r="G13" i="4"/>
  <c r="I13" i="4" s="1"/>
  <c r="K13" i="4" s="1"/>
  <c r="G12" i="4"/>
  <c r="I12" i="4" s="1"/>
  <c r="K12" i="4" s="1"/>
  <c r="I11" i="4"/>
  <c r="K11" i="4" s="1"/>
  <c r="G11" i="4"/>
  <c r="G15" i="4" s="1"/>
  <c r="G8" i="4"/>
  <c r="I8" i="4" s="1"/>
  <c r="K8" i="4" s="1"/>
  <c r="G7" i="4"/>
  <c r="G9" i="4" s="1"/>
  <c r="I6" i="4"/>
  <c r="K6" i="4" s="1"/>
  <c r="G6" i="4"/>
  <c r="G5" i="4"/>
  <c r="I5" i="4" s="1"/>
  <c r="K5" i="4" s="1"/>
  <c r="G17" i="3"/>
  <c r="I17" i="3" s="1"/>
  <c r="K17" i="3" s="1"/>
  <c r="G16" i="3"/>
  <c r="I16" i="3" s="1"/>
  <c r="K16" i="3" s="1"/>
  <c r="G15" i="3"/>
  <c r="I15" i="3" s="1"/>
  <c r="K15" i="3" s="1"/>
  <c r="G14" i="3"/>
  <c r="I14" i="3" s="1"/>
  <c r="K14" i="3" s="1"/>
  <c r="G13" i="3"/>
  <c r="I13" i="3" s="1"/>
  <c r="K13" i="3" s="1"/>
  <c r="G12" i="3"/>
  <c r="I12" i="3" s="1"/>
  <c r="K12" i="3" s="1"/>
  <c r="I11" i="3"/>
  <c r="K11" i="3" s="1"/>
  <c r="G11" i="3"/>
  <c r="G10" i="3"/>
  <c r="I10" i="3" s="1"/>
  <c r="K10" i="3" s="1"/>
  <c r="G9" i="3"/>
  <c r="I9" i="3" s="1"/>
  <c r="K9" i="3" s="1"/>
  <c r="G8" i="3"/>
  <c r="I8" i="3" s="1"/>
  <c r="K8" i="3" s="1"/>
  <c r="G7" i="3"/>
  <c r="I7" i="3" s="1"/>
  <c r="K7" i="3" s="1"/>
  <c r="G6" i="3"/>
  <c r="I6" i="3" s="1"/>
  <c r="K6" i="3" s="1"/>
  <c r="G5" i="3"/>
  <c r="I5" i="3" s="1"/>
  <c r="K5" i="3" s="1"/>
  <c r="G4" i="3"/>
  <c r="I4" i="3" s="1"/>
  <c r="B10" i="5" l="1"/>
  <c r="B8" i="5"/>
  <c r="B9" i="5"/>
  <c r="K4" i="3"/>
  <c r="I29" i="4"/>
  <c r="K29" i="4" s="1"/>
  <c r="I18" i="4"/>
  <c r="K18" i="4" s="1"/>
  <c r="C44" i="4"/>
  <c r="I7" i="4"/>
  <c r="K7" i="4" s="1"/>
  <c r="C45" i="4"/>
  <c r="I23" i="4"/>
  <c r="K23" i="4" s="1"/>
  <c r="C47" i="4" l="1"/>
  <c r="B6" i="5"/>
  <c r="B11" i="5" s="1"/>
  <c r="B5" i="5"/>
  <c r="B7" i="5" s="1"/>
  <c r="B4" i="5"/>
</calcChain>
</file>

<file path=xl/sharedStrings.xml><?xml version="1.0" encoding="utf-8"?>
<sst xmlns="http://schemas.openxmlformats.org/spreadsheetml/2006/main" count="307" uniqueCount="150">
  <si>
    <t>Prepared By</t>
  </si>
  <si>
    <t>Rahil Shah</t>
  </si>
  <si>
    <t>Role</t>
  </si>
  <si>
    <t>QA Validator</t>
  </si>
  <si>
    <t>15-Jul-2026</t>
  </si>
  <si>
    <t>APPROVED</t>
  </si>
  <si>
    <t>Emission Factor Register — Source of Truth: emission_factors.py</t>
  </si>
  <si>
    <t>Activity</t>
  </si>
  <si>
    <t>Emission Factor</t>
  </si>
  <si>
    <t>Unit</t>
  </si>
  <si>
    <t>Scope</t>
  </si>
  <si>
    <t>Source</t>
  </si>
  <si>
    <t>Description</t>
  </si>
  <si>
    <t>Electricity</t>
  </si>
  <si>
    <t>kWh</t>
  </si>
  <si>
    <t>Scope 2</t>
  </si>
  <si>
    <t>CEA India</t>
  </si>
  <si>
    <t>Grid electricity consumption at institutional facilities</t>
  </si>
  <si>
    <t>Diesel</t>
  </si>
  <si>
    <t>Litre</t>
  </si>
  <si>
    <t>Scope 1</t>
  </si>
  <si>
    <t>IPCC 2006</t>
  </si>
  <si>
    <t>Diesel consumed by backup power generators</t>
  </si>
  <si>
    <t>Petrol Vehicle</t>
  </si>
  <si>
    <t>km</t>
  </si>
  <si>
    <t>Scope 3</t>
  </si>
  <si>
    <t>DEFRA 2024</t>
  </si>
  <si>
    <t>Institutional travel by petrol-fuelled vehicle</t>
  </si>
  <si>
    <t>Diesel Vehicle</t>
  </si>
  <si>
    <t>Institutional travel by diesel-fuelled vehicle</t>
  </si>
  <si>
    <t>EV</t>
  </si>
  <si>
    <t>Electricity used to charge institutional electric vehicles</t>
  </si>
  <si>
    <t>College Bus</t>
  </si>
  <si>
    <t>GHG Protocol</t>
  </si>
  <si>
    <t>College-owned bus fleet used for transport</t>
  </si>
  <si>
    <t>Public Bus</t>
  </si>
  <si>
    <t>passenger-km</t>
  </si>
  <si>
    <t>Employee/student commute via public bus service</t>
  </si>
  <si>
    <t>Waste</t>
  </si>
  <si>
    <t>kg</t>
  </si>
  <si>
    <t>Solid waste generated and sent for disposal/treatment</t>
  </si>
  <si>
    <t>Methane (CH4)</t>
  </si>
  <si>
    <t>kg CH4</t>
  </si>
  <si>
    <t>IPCC AR6</t>
  </si>
  <si>
    <t>Fugitive methane (CH4) emissions, CO2e via GWP100</t>
  </si>
  <si>
    <t>Nitrous Oxide (N2O)</t>
  </si>
  <si>
    <t>kg N2O</t>
  </si>
  <si>
    <t>Fugitive nitrous oxide (N2O) emissions, CO2e via GWP100</t>
  </si>
  <si>
    <t>Note: Values above are copied verbatim from EMISSION_FACTORS in emission_factors.py (the project's single source of truth) and must not be edited independently of that file.</t>
  </si>
  <si>
    <t>QA Validation Log — Manual vs. Python-Generated Emission Calculations</t>
  </si>
  <si>
    <t>Validation ID</t>
  </si>
  <si>
    <t>Test Case ID</t>
  </si>
  <si>
    <t>Quantity</t>
  </si>
  <si>
    <t>Formula Used</t>
  </si>
  <si>
    <t>Manual Calculation</t>
  </si>
  <si>
    <t>Python Output</t>
  </si>
  <si>
    <t>Difference</t>
  </si>
  <si>
    <t>Tolerance</t>
  </si>
  <si>
    <t>Status</t>
  </si>
  <si>
    <t>Remarks</t>
  </si>
  <si>
    <t>VAL-01</t>
  </si>
  <si>
    <t>TC-01</t>
  </si>
  <si>
    <t>Qty (kWh) x Factor</t>
  </si>
  <si>
    <t>Normal case — matches Test Log TC-01 pattern, dataset Day 1</t>
  </si>
  <si>
    <t>VAL-02</t>
  </si>
  <si>
    <t>TC-02</t>
  </si>
  <si>
    <t>Qty (Litre) x Factor</t>
  </si>
  <si>
    <t>Normal case — Generator diesel, dataset Day 1</t>
  </si>
  <si>
    <t>VAL-03</t>
  </si>
  <si>
    <t>TC-03</t>
  </si>
  <si>
    <t>Qty (km) x Factor</t>
  </si>
  <si>
    <t>Normal case — standard commute distance</t>
  </si>
  <si>
    <t>VAL-04</t>
  </si>
  <si>
    <t>TC-04</t>
  </si>
  <si>
    <t>VAL-05</t>
  </si>
  <si>
    <t>TC-05</t>
  </si>
  <si>
    <t>Normal case — EV charging session</t>
  </si>
  <si>
    <t>VAL-06</t>
  </si>
  <si>
    <t>TC-06</t>
  </si>
  <si>
    <t>Normal case — dataset Day 1</t>
  </si>
  <si>
    <t>VAL-07</t>
  </si>
  <si>
    <t>TC-07</t>
  </si>
  <si>
    <t>Qty (passenger-km) x Factor</t>
  </si>
  <si>
    <t>Normal case — standard commute batch</t>
  </si>
  <si>
    <t>VAL-08</t>
  </si>
  <si>
    <t>TC-08</t>
  </si>
  <si>
    <t>Qty (kg) x Factor</t>
  </si>
  <si>
    <t>VAL-09</t>
  </si>
  <si>
    <t>TC-09</t>
  </si>
  <si>
    <t>Qty (kg CH4) x GWP100 Factor</t>
  </si>
  <si>
    <t>Normal case — fugitive emission estimate</t>
  </si>
  <si>
    <t>VAL-10</t>
  </si>
  <si>
    <t>TC-10</t>
  </si>
  <si>
    <t>Qty (kg N2O) x GWP100 Factor</t>
  </si>
  <si>
    <t>VAL-11</t>
  </si>
  <si>
    <t>TC-11</t>
  </si>
  <si>
    <t>Edge case: zero input — boundary handled</t>
  </si>
  <si>
    <t>VAL-12</t>
  </si>
  <si>
    <t>TC-12</t>
  </si>
  <si>
    <t>VAL-13</t>
  </si>
  <si>
    <t>TC-13</t>
  </si>
  <si>
    <t>Cross-check — dataset Day 9 (holiday)</t>
  </si>
  <si>
    <t>VAL-14</t>
  </si>
  <si>
    <t>TC-14</t>
  </si>
  <si>
    <t>Python Output values reflect the reference run of calculate_*_emissions() functions for the corresponding module inputs, recorded independently of this worksheet's formulas.</t>
  </si>
  <si>
    <t>Manual Validation — Sample Records from institutional_dataset.csv</t>
  </si>
  <si>
    <t>Six records were sampled across the dataset (Days 1, 61, 121, 181, 241, 301) to cover seasonal variation. Only activities with a corresponding column in the dataset and a matching factor in emission_factors.py are validated: Electricity, Diesel (generator), College Bus, and Waste.</t>
  </si>
  <si>
    <t>Day</t>
  </si>
  <si>
    <t>x</t>
  </si>
  <si>
    <t>=</t>
  </si>
  <si>
    <t>Manual Emission (kg CO2e)</t>
  </si>
  <si>
    <t>Python Output (kg CO2e)</t>
  </si>
  <si>
    <t>Diesel (Generator)</t>
  </si>
  <si>
    <t>Day 1 — Scope Totals</t>
  </si>
  <si>
    <t>Day Total</t>
  </si>
  <si>
    <t>Day 61 — Scope Totals</t>
  </si>
  <si>
    <t>Day 121 — Scope Totals</t>
  </si>
  <si>
    <t>Day 181 — Scope Totals</t>
  </si>
  <si>
    <t>Day 241 — Scope Totals</t>
  </si>
  <si>
    <t>Day 301 — Scope Totals</t>
  </si>
  <si>
    <t>Scope-wise Carbon Footprint — All Sampled Records</t>
  </si>
  <si>
    <t>Activities Included</t>
  </si>
  <si>
    <t>Total Emission (kg CO2e)</t>
  </si>
  <si>
    <t>Diesel (Generator) + College Bus</t>
  </si>
  <si>
    <t>TOTAL</t>
  </si>
  <si>
    <t>Scope 1 + Scope 2 + Scope 3</t>
  </si>
  <si>
    <t>QA Summary — Module 1: Carbon Accounting</t>
  </si>
  <si>
    <t>Validation Statistics</t>
  </si>
  <si>
    <t>Total Validation Records</t>
  </si>
  <si>
    <t>Passed</t>
  </si>
  <si>
    <t>Failed</t>
  </si>
  <si>
    <t>Accuracy %</t>
  </si>
  <si>
    <t>Maximum Difference</t>
  </si>
  <si>
    <t>Minimum Difference</t>
  </si>
  <si>
    <t>Average Difference</t>
  </si>
  <si>
    <t>Overall QA Status</t>
  </si>
  <si>
    <t>QA Observations</t>
  </si>
  <si>
    <t>•  Manual calculations matched software output for every activity tested.</t>
  </si>
  <si>
    <t>•  Emission factors were correctly applied from emission_factors.py in all cases.</t>
  </si>
  <si>
    <t>•  Scope classification (Scope 1 / 2 / 3) is consistent with the GHG Protocol.</t>
  </si>
  <si>
    <t>•  Zero-input edge cases were handled correctly with no calculation errors.</t>
  </si>
  <si>
    <t>•  No mathematical discrepancies were observed across dataset-derived records.</t>
  </si>
  <si>
    <t>QA Conclusion</t>
  </si>
  <si>
    <t>The Carbon Accounting Module (Module 1) successfully generated correct greenhouse gas emissions across all tested activities. Independent manual verification, performed against the official emission factors and a sample of institutional activity data, confirmed that every calculation matched the Python-generated result within tolerance. Module 1 is therefore approved from the QA Validation perspective.</t>
  </si>
  <si>
    <t>Approval</t>
  </si>
  <si>
    <t>Signature</t>
  </si>
  <si>
    <t>________________________</t>
  </si>
  <si>
    <t>Date</t>
  </si>
  <si>
    <t>Comments</t>
  </si>
  <si>
    <t>No open defects. Recommended for inclusion in the final project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</si>
</sst>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charset val="1"/>
    </font>
    <font>
      <b/>
      <sz val="11"/>
      <color rgb="FF1F2937"/>
      <name val="Arial"/>
      <charset val="1"/>
    </font>
    <font>
      <b/>
      <sz val="11"/>
      <color rgb="FF1E7A46"/>
      <name val="Arial"/>
      <charset val="1"/>
    </font>
    <font>
      <b/>
      <sz val="11"/>
      <color rgb="FFFFFFFF"/>
      <name val="Arial"/>
      <charset val="1"/>
    </font>
    <font>
      <sz val="10.5"/>
      <color rgb="FF1F2937"/>
      <name val="Arial"/>
      <charset val="1"/>
    </font>
    <font>
      <i/>
      <sz val="9"/>
      <color rgb="FF6B7280"/>
      <name val="Arial"/>
      <charset val="1"/>
    </font>
    <font>
      <b/>
      <sz val="13"/>
      <color rgb="FFFFFFFF"/>
      <name val="Arial"/>
      <charset val="1"/>
    </font>
    <font>
      <sz val="10"/>
      <color rgb="FF1F2937"/>
      <name val="Arial"/>
      <charset val="1"/>
    </font>
    <font>
      <b/>
      <sz val="10"/>
      <color rgb="FF1F2937"/>
      <name val="Arial"/>
      <charset val="1"/>
    </font>
    <font>
      <b/>
      <sz val="12"/>
      <color rgb="FFFFFFFF"/>
      <name val="Arial"/>
      <charset val="1"/>
    </font>
    <font>
      <b/>
      <sz val="10"/>
      <color rgb="FFB08D3E"/>
      <name val="Arial"/>
      <charset val="1"/>
    </font>
    <font>
      <b/>
      <sz val="14"/>
      <color rgb="FFFFFFFF"/>
      <name val="Arial"/>
      <charset val="1"/>
    </font>
    <font>
      <b/>
      <sz val="10.5"/>
      <color rgb="FF1F2937"/>
      <name val="Arial"/>
      <charset val="1"/>
    </font>
    <font>
      <b/>
      <sz val="10.5"/>
      <color rgb="FF1E7A46"/>
      <name val="Arial"/>
      <charset val="1"/>
    </font>
    <font>
      <b/>
      <sz val="10"/>
      <color rgb="FF6B72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D"/>
        <bgColor rgb="FF2B6653"/>
      </patternFill>
    </fill>
    <fill>
      <patternFill patternType="solid">
        <fgColor rgb="FFF3F6F4"/>
        <bgColor rgb="FFF5F8F6"/>
      </patternFill>
    </fill>
    <fill>
      <patternFill patternType="solid">
        <fgColor rgb="FFF5F8F6"/>
        <bgColor rgb="FFF3F6F4"/>
      </patternFill>
    </fill>
    <fill>
      <patternFill patternType="solid">
        <fgColor rgb="FFD9F2E3"/>
        <b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1" fillId="2" borderId="0" xfId="0" applyFont="1" applyFill="1" applyBorder="1" applyAlignment="1">
      <alignment horizontal="left" vertical="center" indent="1"/>
    </xf>
    <xf numFmtId="0" fontId="9" fillId="2" borderId="0" xfId="0" applyFont="1" applyFill="1" applyBorder="1" applyAlignment="1">
      <alignment horizontal="left" vertical="center" indent="1"/>
    </xf>
    <xf numFmtId="0" fontId="8" fillId="3" borderId="1" xfId="0" applyFont="1" applyFill="1" applyBorder="1"/>
    <xf numFmtId="0" fontId="5" fillId="0" borderId="0" xfId="0" applyFont="1" applyBorder="1"/>
    <xf numFmtId="0" fontId="6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2" fontId="8" fillId="3" borderId="1" xfId="0" applyNumberFormat="1" applyFont="1" applyFill="1" applyBorder="1"/>
    <xf numFmtId="0" fontId="5" fillId="3" borderId="1" xfId="0" applyFont="1" applyFill="1" applyBorder="1"/>
    <xf numFmtId="0" fontId="8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1" fontId="12" fillId="0" borderId="1" xfId="0" applyNumberFormat="1" applyFont="1" applyBorder="1" applyAlignment="1">
      <alignment horizontal="center"/>
    </xf>
    <xf numFmtId="10" fontId="13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5" borderId="1" xfId="0" applyFont="1" applyFill="1" applyBorder="1" applyAlignment="1">
      <alignment horizontal="center"/>
    </xf>
    <xf numFmtId="0" fontId="14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left" vertical="top" wrapText="1"/>
    </xf>
    <xf numFmtId="0" fontId="4" fillId="0" borderId="0" xfId="0" applyFont="1" applyBorder="1"/>
    <xf numFmtId="0" fontId="13" fillId="0" borderId="0" xfId="0" applyFont="1" applyBorder="1"/>
  </cellXfs>
  <cellStyles count="1">
    <cellStyle name="Normal" xfId="0" builtinId="0"/>
  </cellStyles>
  <dxfs count="3">
    <dxf>
      <font>
        <color rgb="FFB45309"/>
        <name val="Arial"/>
        <charset val="1"/>
      </font>
      <fill>
        <patternFill>
          <bgColor rgb="FFFDEBD3"/>
        </patternFill>
      </fill>
    </dxf>
    <dxf>
      <font>
        <b/>
        <color rgb="FFB91C1C"/>
        <name val="Arial"/>
        <charset val="1"/>
      </font>
      <fill>
        <patternFill>
          <bgColor rgb="FFFBDADA"/>
        </patternFill>
      </fill>
    </dxf>
    <dxf>
      <font>
        <b/>
        <color rgb="FF1E7A46"/>
        <name val="Arial"/>
        <charset val="1"/>
      </font>
      <fill>
        <patternFill>
          <bgColor rgb="FFD9F2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808080"/>
      <rgbColor rgb="FF9999FF"/>
      <rgbColor rgb="FFB45309"/>
      <rgbColor rgb="FFFDEBD3"/>
      <rgbColor rgb="FFF3F6F4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2B6653"/>
      <rgbColor rgb="FF0000FF"/>
      <rgbColor rgb="FF00CCFF"/>
      <rgbColor rgb="FFF5F8F6"/>
      <rgbColor rgb="FFD9F2E3"/>
      <rgbColor rgb="FFE5E7EB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6B7280"/>
      <rgbColor rgb="FFB08D3E"/>
      <rgbColor rgb="FF1F4E3D"/>
      <rgbColor rgb="FF339966"/>
      <rgbColor rgb="FF003300"/>
      <rgbColor rgb="FF333300"/>
      <rgbColor rgb="FFB91C1C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3D"/>
    <pageSetUpPr fitToPage="1"/>
  </sheetPr>
  <dimension ref="A1:F15"/>
  <sheetViews>
    <sheetView showGridLines="0" tabSelected="1" zoomScaleNormal="100" workbookViewId="0">
      <pane ySplit="3" topLeftCell="A4" activePane="bottomLeft" state="frozen"/>
      <selection pane="bottomLeft" sqref="A1:F1"/>
    </sheetView>
  </sheetViews>
  <sheetFormatPr defaultColWidth="8.6640625" defaultRowHeight="14.4" x14ac:dyDescent="0.3"/>
  <cols>
    <col min="1" max="1" width="22" customWidth="1"/>
    <col min="2" max="3" width="16" customWidth="1"/>
    <col min="4" max="4" width="12" customWidth="1"/>
    <col min="5" max="5" width="14" customWidth="1"/>
    <col min="6" max="6" width="46" customWidth="1"/>
  </cols>
  <sheetData>
    <row r="1" spans="1:6" ht="25.5" customHeight="1" x14ac:dyDescent="0.3">
      <c r="A1" s="5" t="s">
        <v>6</v>
      </c>
      <c r="B1" s="5"/>
      <c r="C1" s="5"/>
      <c r="D1" s="5"/>
      <c r="E1" s="5"/>
      <c r="F1" s="5"/>
    </row>
    <row r="3" spans="1:6" ht="21.75" customHeight="1" x14ac:dyDescent="0.3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</row>
    <row r="4" spans="1:6" x14ac:dyDescent="0.3">
      <c r="A4" s="8" t="s">
        <v>13</v>
      </c>
      <c r="B4" s="9">
        <v>0.7117</v>
      </c>
      <c r="C4" s="10" t="s">
        <v>14</v>
      </c>
      <c r="D4" s="10" t="s">
        <v>15</v>
      </c>
      <c r="E4" s="8" t="s">
        <v>16</v>
      </c>
      <c r="F4" s="8" t="s">
        <v>17</v>
      </c>
    </row>
    <row r="5" spans="1:6" x14ac:dyDescent="0.3">
      <c r="A5" s="11" t="s">
        <v>18</v>
      </c>
      <c r="B5" s="12">
        <v>2.68</v>
      </c>
      <c r="C5" s="13" t="s">
        <v>19</v>
      </c>
      <c r="D5" s="13" t="s">
        <v>20</v>
      </c>
      <c r="E5" s="11" t="s">
        <v>21</v>
      </c>
      <c r="F5" s="11" t="s">
        <v>22</v>
      </c>
    </row>
    <row r="6" spans="1:6" x14ac:dyDescent="0.3">
      <c r="A6" s="8" t="s">
        <v>23</v>
      </c>
      <c r="B6" s="9">
        <v>0.192</v>
      </c>
      <c r="C6" s="10" t="s">
        <v>24</v>
      </c>
      <c r="D6" s="10" t="s">
        <v>25</v>
      </c>
      <c r="E6" s="8" t="s">
        <v>26</v>
      </c>
      <c r="F6" s="8" t="s">
        <v>27</v>
      </c>
    </row>
    <row r="7" spans="1:6" x14ac:dyDescent="0.3">
      <c r="A7" s="11" t="s">
        <v>28</v>
      </c>
      <c r="B7" s="12">
        <v>0.17100000000000001</v>
      </c>
      <c r="C7" s="13" t="s">
        <v>24</v>
      </c>
      <c r="D7" s="13" t="s">
        <v>25</v>
      </c>
      <c r="E7" s="11" t="s">
        <v>26</v>
      </c>
      <c r="F7" s="11" t="s">
        <v>29</v>
      </c>
    </row>
    <row r="8" spans="1:6" x14ac:dyDescent="0.3">
      <c r="A8" s="8" t="s">
        <v>30</v>
      </c>
      <c r="B8" s="9">
        <v>0.71599999999999997</v>
      </c>
      <c r="C8" s="10" t="s">
        <v>14</v>
      </c>
      <c r="D8" s="10" t="s">
        <v>25</v>
      </c>
      <c r="E8" s="8" t="s">
        <v>16</v>
      </c>
      <c r="F8" s="8" t="s">
        <v>31</v>
      </c>
    </row>
    <row r="9" spans="1:6" x14ac:dyDescent="0.3">
      <c r="A9" s="11" t="s">
        <v>32</v>
      </c>
      <c r="B9" s="12">
        <v>0.82199999999999995</v>
      </c>
      <c r="C9" s="13" t="s">
        <v>24</v>
      </c>
      <c r="D9" s="13" t="s">
        <v>20</v>
      </c>
      <c r="E9" s="11" t="s">
        <v>33</v>
      </c>
      <c r="F9" s="11" t="s">
        <v>34</v>
      </c>
    </row>
    <row r="10" spans="1:6" x14ac:dyDescent="0.3">
      <c r="A10" s="8" t="s">
        <v>35</v>
      </c>
      <c r="B10" s="9">
        <v>0.105</v>
      </c>
      <c r="C10" s="10" t="s">
        <v>36</v>
      </c>
      <c r="D10" s="10" t="s">
        <v>25</v>
      </c>
      <c r="E10" s="8" t="s">
        <v>26</v>
      </c>
      <c r="F10" s="8" t="s">
        <v>37</v>
      </c>
    </row>
    <row r="11" spans="1:6" x14ac:dyDescent="0.3">
      <c r="A11" s="11" t="s">
        <v>38</v>
      </c>
      <c r="B11" s="12">
        <v>1.9</v>
      </c>
      <c r="C11" s="13" t="s">
        <v>39</v>
      </c>
      <c r="D11" s="13" t="s">
        <v>25</v>
      </c>
      <c r="E11" s="11" t="s">
        <v>21</v>
      </c>
      <c r="F11" s="11" t="s">
        <v>40</v>
      </c>
    </row>
    <row r="12" spans="1:6" x14ac:dyDescent="0.3">
      <c r="A12" s="8" t="s">
        <v>41</v>
      </c>
      <c r="B12" s="9">
        <v>28</v>
      </c>
      <c r="C12" s="10" t="s">
        <v>42</v>
      </c>
      <c r="D12" s="10" t="s">
        <v>25</v>
      </c>
      <c r="E12" s="8" t="s">
        <v>43</v>
      </c>
      <c r="F12" s="8" t="s">
        <v>44</v>
      </c>
    </row>
    <row r="13" spans="1:6" x14ac:dyDescent="0.3">
      <c r="A13" s="11" t="s">
        <v>45</v>
      </c>
      <c r="B13" s="12">
        <v>265</v>
      </c>
      <c r="C13" s="13" t="s">
        <v>46</v>
      </c>
      <c r="D13" s="13" t="s">
        <v>25</v>
      </c>
      <c r="E13" s="11" t="s">
        <v>43</v>
      </c>
      <c r="F13" s="11" t="s">
        <v>47</v>
      </c>
    </row>
    <row r="15" spans="1:6" x14ac:dyDescent="0.3">
      <c r="A15" s="4" t="s">
        <v>48</v>
      </c>
      <c r="B15" s="4"/>
      <c r="C15" s="4"/>
      <c r="D15" s="4"/>
      <c r="E15" s="4"/>
      <c r="F15" s="4"/>
    </row>
  </sheetData>
  <autoFilter ref="A3:F13" xr:uid="{00000000-0009-0000-0000-000001000000}"/>
  <mergeCells count="2">
    <mergeCell ref="A1:F1"/>
    <mergeCell ref="A15:F15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3D"/>
    <pageSetUpPr fitToPage="1"/>
  </sheetPr>
  <dimension ref="A1:L19"/>
  <sheetViews>
    <sheetView showGridLines="0"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2" width="12" customWidth="1"/>
    <col min="3" max="3" width="16" customWidth="1"/>
    <col min="4" max="4" width="12" customWidth="1"/>
    <col min="5" max="5" width="14" customWidth="1"/>
    <col min="6" max="6" width="30" customWidth="1"/>
    <col min="7" max="7" width="16" customWidth="1"/>
    <col min="8" max="8" width="14" customWidth="1"/>
    <col min="9" max="9" width="11" customWidth="1"/>
    <col min="10" max="10" width="10" customWidth="1"/>
    <col min="11" max="11" width="9" customWidth="1"/>
    <col min="12" max="12" width="26" customWidth="1"/>
  </cols>
  <sheetData>
    <row r="1" spans="1:12" ht="25.5" customHeight="1" x14ac:dyDescent="0.3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ht="30" customHeight="1" x14ac:dyDescent="0.3">
      <c r="A3" s="7" t="s">
        <v>50</v>
      </c>
      <c r="B3" s="7" t="s">
        <v>51</v>
      </c>
      <c r="C3" s="7" t="s">
        <v>7</v>
      </c>
      <c r="D3" s="7" t="s">
        <v>52</v>
      </c>
      <c r="E3" s="7" t="s">
        <v>8</v>
      </c>
      <c r="F3" s="7" t="s">
        <v>53</v>
      </c>
      <c r="G3" s="7" t="s">
        <v>54</v>
      </c>
      <c r="H3" s="7" t="s">
        <v>55</v>
      </c>
      <c r="I3" s="7" t="s">
        <v>56</v>
      </c>
      <c r="J3" s="7" t="s">
        <v>57</v>
      </c>
      <c r="K3" s="7" t="s">
        <v>58</v>
      </c>
      <c r="L3" s="7" t="s">
        <v>59</v>
      </c>
    </row>
    <row r="4" spans="1:12" x14ac:dyDescent="0.3">
      <c r="A4" s="10" t="s">
        <v>60</v>
      </c>
      <c r="B4" s="10" t="s">
        <v>61</v>
      </c>
      <c r="C4" s="8" t="s">
        <v>13</v>
      </c>
      <c r="D4" s="10">
        <v>27937.39</v>
      </c>
      <c r="E4" s="9">
        <v>0.7117</v>
      </c>
      <c r="F4" s="8" t="s">
        <v>62</v>
      </c>
      <c r="G4" s="14">
        <f t="shared" ref="G4:G17" si="0">D4*E4</f>
        <v>19883.040463000001</v>
      </c>
      <c r="H4" s="14">
        <v>19883.040499999999</v>
      </c>
      <c r="I4" s="9">
        <f t="shared" ref="I4:I17" si="1">ABS(G4-H4)</f>
        <v>3.6999997973907739E-5</v>
      </c>
      <c r="J4" s="10">
        <v>0.01</v>
      </c>
      <c r="K4" s="10" t="str">
        <f t="shared" ref="K4:K17" si="2">IF(I4&lt;=J4,"PASS","FAIL")</f>
        <v>PASS</v>
      </c>
      <c r="L4" s="8" t="s">
        <v>63</v>
      </c>
    </row>
    <row r="5" spans="1:12" x14ac:dyDescent="0.3">
      <c r="A5" s="13" t="s">
        <v>64</v>
      </c>
      <c r="B5" s="13" t="s">
        <v>65</v>
      </c>
      <c r="C5" s="11" t="s">
        <v>18</v>
      </c>
      <c r="D5" s="13">
        <v>96.56</v>
      </c>
      <c r="E5" s="12">
        <v>2.68</v>
      </c>
      <c r="F5" s="11" t="s">
        <v>66</v>
      </c>
      <c r="G5" s="15">
        <f t="shared" si="0"/>
        <v>258.7808</v>
      </c>
      <c r="H5" s="15">
        <v>258.7808</v>
      </c>
      <c r="I5" s="12">
        <f t="shared" si="1"/>
        <v>0</v>
      </c>
      <c r="J5" s="13">
        <v>0.01</v>
      </c>
      <c r="K5" s="13" t="str">
        <f t="shared" si="2"/>
        <v>PASS</v>
      </c>
      <c r="L5" s="11" t="s">
        <v>67</v>
      </c>
    </row>
    <row r="6" spans="1:12" x14ac:dyDescent="0.3">
      <c r="A6" s="10" t="s">
        <v>68</v>
      </c>
      <c r="B6" s="10" t="s">
        <v>69</v>
      </c>
      <c r="C6" s="8" t="s">
        <v>23</v>
      </c>
      <c r="D6" s="10">
        <v>120</v>
      </c>
      <c r="E6" s="9">
        <v>0.192</v>
      </c>
      <c r="F6" s="8" t="s">
        <v>70</v>
      </c>
      <c r="G6" s="14">
        <f t="shared" si="0"/>
        <v>23.04</v>
      </c>
      <c r="H6" s="14">
        <v>23.04</v>
      </c>
      <c r="I6" s="9">
        <f t="shared" si="1"/>
        <v>0</v>
      </c>
      <c r="J6" s="10">
        <v>0.01</v>
      </c>
      <c r="K6" s="10" t="str">
        <f t="shared" si="2"/>
        <v>PASS</v>
      </c>
      <c r="L6" s="8" t="s">
        <v>71</v>
      </c>
    </row>
    <row r="7" spans="1:12" x14ac:dyDescent="0.3">
      <c r="A7" s="13" t="s">
        <v>72</v>
      </c>
      <c r="B7" s="13" t="s">
        <v>73</v>
      </c>
      <c r="C7" s="11" t="s">
        <v>28</v>
      </c>
      <c r="D7" s="13">
        <v>60</v>
      </c>
      <c r="E7" s="12">
        <v>0.17100000000000001</v>
      </c>
      <c r="F7" s="11" t="s">
        <v>70</v>
      </c>
      <c r="G7" s="15">
        <f t="shared" si="0"/>
        <v>10.260000000000002</v>
      </c>
      <c r="H7" s="15">
        <v>10.26</v>
      </c>
      <c r="I7" s="12">
        <f t="shared" si="1"/>
        <v>1.7763568394002505E-15</v>
      </c>
      <c r="J7" s="13">
        <v>0.01</v>
      </c>
      <c r="K7" s="13" t="str">
        <f t="shared" si="2"/>
        <v>PASS</v>
      </c>
      <c r="L7" s="11" t="s">
        <v>71</v>
      </c>
    </row>
    <row r="8" spans="1:12" x14ac:dyDescent="0.3">
      <c r="A8" s="10" t="s">
        <v>74</v>
      </c>
      <c r="B8" s="10" t="s">
        <v>75</v>
      </c>
      <c r="C8" s="8" t="s">
        <v>30</v>
      </c>
      <c r="D8" s="10">
        <v>35</v>
      </c>
      <c r="E8" s="9">
        <v>0.71599999999999997</v>
      </c>
      <c r="F8" s="8" t="s">
        <v>62</v>
      </c>
      <c r="G8" s="14">
        <f t="shared" si="0"/>
        <v>25.06</v>
      </c>
      <c r="H8" s="14">
        <v>25.06</v>
      </c>
      <c r="I8" s="9">
        <f t="shared" si="1"/>
        <v>0</v>
      </c>
      <c r="J8" s="10">
        <v>0.01</v>
      </c>
      <c r="K8" s="10" t="str">
        <f t="shared" si="2"/>
        <v>PASS</v>
      </c>
      <c r="L8" s="8" t="s">
        <v>76</v>
      </c>
    </row>
    <row r="9" spans="1:12" x14ac:dyDescent="0.3">
      <c r="A9" s="13" t="s">
        <v>77</v>
      </c>
      <c r="B9" s="13" t="s">
        <v>78</v>
      </c>
      <c r="C9" s="11" t="s">
        <v>32</v>
      </c>
      <c r="D9" s="13">
        <v>182.79</v>
      </c>
      <c r="E9" s="12">
        <v>0.82199999999999995</v>
      </c>
      <c r="F9" s="11" t="s">
        <v>70</v>
      </c>
      <c r="G9" s="15">
        <f t="shared" si="0"/>
        <v>150.25337999999999</v>
      </c>
      <c r="H9" s="15">
        <v>150.2534</v>
      </c>
      <c r="I9" s="12">
        <f t="shared" si="1"/>
        <v>2.0000000006348273E-5</v>
      </c>
      <c r="J9" s="13">
        <v>0.01</v>
      </c>
      <c r="K9" s="13" t="str">
        <f t="shared" si="2"/>
        <v>PASS</v>
      </c>
      <c r="L9" s="11" t="s">
        <v>79</v>
      </c>
    </row>
    <row r="10" spans="1:12" x14ac:dyDescent="0.3">
      <c r="A10" s="10" t="s">
        <v>80</v>
      </c>
      <c r="B10" s="10" t="s">
        <v>81</v>
      </c>
      <c r="C10" s="8" t="s">
        <v>35</v>
      </c>
      <c r="D10" s="10">
        <v>300</v>
      </c>
      <c r="E10" s="9">
        <v>0.105</v>
      </c>
      <c r="F10" s="8" t="s">
        <v>82</v>
      </c>
      <c r="G10" s="14">
        <f t="shared" si="0"/>
        <v>31.5</v>
      </c>
      <c r="H10" s="14">
        <v>31.5</v>
      </c>
      <c r="I10" s="9">
        <f t="shared" si="1"/>
        <v>0</v>
      </c>
      <c r="J10" s="10">
        <v>0.01</v>
      </c>
      <c r="K10" s="10" t="str">
        <f t="shared" si="2"/>
        <v>PASS</v>
      </c>
      <c r="L10" s="8" t="s">
        <v>83</v>
      </c>
    </row>
    <row r="11" spans="1:12" x14ac:dyDescent="0.3">
      <c r="A11" s="13" t="s">
        <v>84</v>
      </c>
      <c r="B11" s="13" t="s">
        <v>85</v>
      </c>
      <c r="C11" s="11" t="s">
        <v>38</v>
      </c>
      <c r="D11" s="13">
        <v>718.76</v>
      </c>
      <c r="E11" s="12">
        <v>1.9</v>
      </c>
      <c r="F11" s="11" t="s">
        <v>86</v>
      </c>
      <c r="G11" s="15">
        <f t="shared" si="0"/>
        <v>1365.644</v>
      </c>
      <c r="H11" s="15">
        <v>1365.644</v>
      </c>
      <c r="I11" s="12">
        <f t="shared" si="1"/>
        <v>0</v>
      </c>
      <c r="J11" s="13">
        <v>0.01</v>
      </c>
      <c r="K11" s="13" t="str">
        <f t="shared" si="2"/>
        <v>PASS</v>
      </c>
      <c r="L11" s="11" t="s">
        <v>79</v>
      </c>
    </row>
    <row r="12" spans="1:12" x14ac:dyDescent="0.3">
      <c r="A12" s="10" t="s">
        <v>87</v>
      </c>
      <c r="B12" s="10" t="s">
        <v>88</v>
      </c>
      <c r="C12" s="8" t="s">
        <v>41</v>
      </c>
      <c r="D12" s="10">
        <v>23</v>
      </c>
      <c r="E12" s="9">
        <v>28</v>
      </c>
      <c r="F12" s="8" t="s">
        <v>89</v>
      </c>
      <c r="G12" s="14">
        <f t="shared" si="0"/>
        <v>644</v>
      </c>
      <c r="H12" s="14">
        <v>644</v>
      </c>
      <c r="I12" s="9">
        <f t="shared" si="1"/>
        <v>0</v>
      </c>
      <c r="J12" s="10">
        <v>0.01</v>
      </c>
      <c r="K12" s="10" t="str">
        <f t="shared" si="2"/>
        <v>PASS</v>
      </c>
      <c r="L12" s="8" t="s">
        <v>90</v>
      </c>
    </row>
    <row r="13" spans="1:12" x14ac:dyDescent="0.3">
      <c r="A13" s="13" t="s">
        <v>91</v>
      </c>
      <c r="B13" s="13" t="s">
        <v>92</v>
      </c>
      <c r="C13" s="11" t="s">
        <v>45</v>
      </c>
      <c r="D13" s="13">
        <v>12</v>
      </c>
      <c r="E13" s="12">
        <v>265</v>
      </c>
      <c r="F13" s="11" t="s">
        <v>93</v>
      </c>
      <c r="G13" s="15">
        <f t="shared" si="0"/>
        <v>3180</v>
      </c>
      <c r="H13" s="15">
        <v>3180</v>
      </c>
      <c r="I13" s="12">
        <f t="shared" si="1"/>
        <v>0</v>
      </c>
      <c r="J13" s="13">
        <v>0.01</v>
      </c>
      <c r="K13" s="13" t="str">
        <f t="shared" si="2"/>
        <v>PASS</v>
      </c>
      <c r="L13" s="11" t="s">
        <v>90</v>
      </c>
    </row>
    <row r="14" spans="1:12" x14ac:dyDescent="0.3">
      <c r="A14" s="10" t="s">
        <v>94</v>
      </c>
      <c r="B14" s="10" t="s">
        <v>95</v>
      </c>
      <c r="C14" s="8" t="s">
        <v>13</v>
      </c>
      <c r="D14" s="10">
        <v>0</v>
      </c>
      <c r="E14" s="9">
        <v>0.7117</v>
      </c>
      <c r="F14" s="8" t="s">
        <v>62</v>
      </c>
      <c r="G14" s="14">
        <f t="shared" si="0"/>
        <v>0</v>
      </c>
      <c r="H14" s="14">
        <v>0</v>
      </c>
      <c r="I14" s="9">
        <f t="shared" si="1"/>
        <v>0</v>
      </c>
      <c r="J14" s="10">
        <v>0.01</v>
      </c>
      <c r="K14" s="10" t="str">
        <f t="shared" si="2"/>
        <v>PASS</v>
      </c>
      <c r="L14" s="8" t="s">
        <v>96</v>
      </c>
    </row>
    <row r="15" spans="1:12" x14ac:dyDescent="0.3">
      <c r="A15" s="13" t="s">
        <v>97</v>
      </c>
      <c r="B15" s="13" t="s">
        <v>98</v>
      </c>
      <c r="C15" s="11" t="s">
        <v>38</v>
      </c>
      <c r="D15" s="13">
        <v>0</v>
      </c>
      <c r="E15" s="12">
        <v>1.9</v>
      </c>
      <c r="F15" s="11" t="s">
        <v>86</v>
      </c>
      <c r="G15" s="15">
        <f t="shared" si="0"/>
        <v>0</v>
      </c>
      <c r="H15" s="15">
        <v>0</v>
      </c>
      <c r="I15" s="12">
        <f t="shared" si="1"/>
        <v>0</v>
      </c>
      <c r="J15" s="13">
        <v>0.01</v>
      </c>
      <c r="K15" s="13" t="str">
        <f t="shared" si="2"/>
        <v>PASS</v>
      </c>
      <c r="L15" s="11" t="s">
        <v>96</v>
      </c>
    </row>
    <row r="16" spans="1:12" x14ac:dyDescent="0.3">
      <c r="A16" s="10" t="s">
        <v>99</v>
      </c>
      <c r="B16" s="10" t="s">
        <v>100</v>
      </c>
      <c r="C16" s="8" t="s">
        <v>18</v>
      </c>
      <c r="D16" s="10">
        <v>68.69</v>
      </c>
      <c r="E16" s="9">
        <v>2.68</v>
      </c>
      <c r="F16" s="8" t="s">
        <v>66</v>
      </c>
      <c r="G16" s="14">
        <f t="shared" si="0"/>
        <v>184.08920000000001</v>
      </c>
      <c r="H16" s="14">
        <v>184.08920000000001</v>
      </c>
      <c r="I16" s="9">
        <f t="shared" si="1"/>
        <v>0</v>
      </c>
      <c r="J16" s="10">
        <v>0.01</v>
      </c>
      <c r="K16" s="10" t="str">
        <f t="shared" si="2"/>
        <v>PASS</v>
      </c>
      <c r="L16" s="8" t="s">
        <v>101</v>
      </c>
    </row>
    <row r="17" spans="1:12" x14ac:dyDescent="0.3">
      <c r="A17" s="13" t="s">
        <v>102</v>
      </c>
      <c r="B17" s="13" t="s">
        <v>103</v>
      </c>
      <c r="C17" s="11" t="s">
        <v>32</v>
      </c>
      <c r="D17" s="13">
        <v>130.75</v>
      </c>
      <c r="E17" s="12">
        <v>0.82199999999999995</v>
      </c>
      <c r="F17" s="11" t="s">
        <v>70</v>
      </c>
      <c r="G17" s="15">
        <f t="shared" si="0"/>
        <v>107.47649999999999</v>
      </c>
      <c r="H17" s="15">
        <v>107.4765</v>
      </c>
      <c r="I17" s="12">
        <f t="shared" si="1"/>
        <v>1.4210854715202004E-14</v>
      </c>
      <c r="J17" s="13">
        <v>0.01</v>
      </c>
      <c r="K17" s="13" t="str">
        <f t="shared" si="2"/>
        <v>PASS</v>
      </c>
      <c r="L17" s="11" t="s">
        <v>101</v>
      </c>
    </row>
    <row r="19" spans="1:12" x14ac:dyDescent="0.3">
      <c r="A19" s="4" t="s">
        <v>104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autoFilter ref="A3:L17" xr:uid="{00000000-0009-0000-0000-000002000000}"/>
  <mergeCells count="2">
    <mergeCell ref="A1:L1"/>
    <mergeCell ref="A19:L19"/>
  </mergeCells>
  <conditionalFormatting sqref="K4:K17">
    <cfRule type="cellIs" dxfId="2" priority="2" operator="equal">
      <formula>"PASS"</formula>
    </cfRule>
    <cfRule type="cellIs" dxfId="1" priority="3" operator="equal">
      <formula>"FAIL"</formula>
    </cfRule>
  </conditionalFormatting>
  <conditionalFormatting sqref="I4:I17">
    <cfRule type="cellIs" dxfId="0" priority="4" operator="greaterThan">
      <formula>0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3D"/>
    <pageSetUpPr fitToPage="1"/>
  </sheetPr>
  <dimension ref="A1:L47"/>
  <sheetViews>
    <sheetView showGridLines="0" zoomScaleNormal="100" workbookViewId="0">
      <pane ySplit="4" topLeftCell="A5" activePane="bottomLeft" state="frozen"/>
      <selection pane="bottomLeft" sqref="A1:L1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4" customWidth="1"/>
    <col min="4" max="4" width="4" customWidth="1"/>
    <col min="5" max="5" width="16" customWidth="1"/>
    <col min="6" max="6" width="4" customWidth="1"/>
    <col min="7" max="9" width="16" customWidth="1"/>
    <col min="10" max="10" width="12" customWidth="1"/>
    <col min="11" max="11" width="10" customWidth="1"/>
    <col min="12" max="12" width="30" customWidth="1"/>
  </cols>
  <sheetData>
    <row r="1" spans="1:12" ht="25.5" customHeight="1" x14ac:dyDescent="0.3">
      <c r="A1" s="5" t="s">
        <v>105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5.5" customHeight="1" x14ac:dyDescent="0.3">
      <c r="A2" s="4" t="s">
        <v>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30" customHeight="1" x14ac:dyDescent="0.3">
      <c r="A4" s="7" t="s">
        <v>107</v>
      </c>
      <c r="B4" s="7" t="s">
        <v>7</v>
      </c>
      <c r="C4" s="7" t="s">
        <v>52</v>
      </c>
      <c r="D4" s="7" t="s">
        <v>108</v>
      </c>
      <c r="E4" s="7" t="s">
        <v>8</v>
      </c>
      <c r="F4" s="7" t="s">
        <v>109</v>
      </c>
      <c r="G4" s="7" t="s">
        <v>110</v>
      </c>
      <c r="H4" s="7" t="s">
        <v>111</v>
      </c>
      <c r="I4" s="7" t="s">
        <v>56</v>
      </c>
      <c r="J4" s="7" t="s">
        <v>57</v>
      </c>
      <c r="K4" s="7" t="s">
        <v>58</v>
      </c>
      <c r="L4" s="7" t="s">
        <v>10</v>
      </c>
    </row>
    <row r="5" spans="1:12" x14ac:dyDescent="0.3">
      <c r="A5" s="10">
        <v>1</v>
      </c>
      <c r="B5" s="8" t="s">
        <v>13</v>
      </c>
      <c r="C5" s="10">
        <v>27937.39</v>
      </c>
      <c r="D5" s="10" t="s">
        <v>108</v>
      </c>
      <c r="E5" s="9">
        <v>0.7117</v>
      </c>
      <c r="F5" s="10" t="s">
        <v>109</v>
      </c>
      <c r="G5" s="14">
        <f>C5*E5</f>
        <v>19883.040463000001</v>
      </c>
      <c r="H5" s="14">
        <v>19883.040499999999</v>
      </c>
      <c r="I5" s="9">
        <f>ABS(G5-H5)</f>
        <v>3.6999997973907739E-5</v>
      </c>
      <c r="J5" s="10">
        <v>0.01</v>
      </c>
      <c r="K5" s="10" t="str">
        <f>IF(I5&lt;=J5,"PASS","FAIL")</f>
        <v>PASS</v>
      </c>
      <c r="L5" s="10" t="s">
        <v>15</v>
      </c>
    </row>
    <row r="6" spans="1:12" x14ac:dyDescent="0.3">
      <c r="A6" s="10">
        <v>1</v>
      </c>
      <c r="B6" s="8" t="s">
        <v>112</v>
      </c>
      <c r="C6" s="10">
        <v>96.56</v>
      </c>
      <c r="D6" s="10" t="s">
        <v>108</v>
      </c>
      <c r="E6" s="9">
        <v>2.68</v>
      </c>
      <c r="F6" s="10" t="s">
        <v>109</v>
      </c>
      <c r="G6" s="14">
        <f>C6*E6</f>
        <v>258.7808</v>
      </c>
      <c r="H6" s="14">
        <v>258.7808</v>
      </c>
      <c r="I6" s="9">
        <f>ABS(G6-H6)</f>
        <v>0</v>
      </c>
      <c r="J6" s="10">
        <v>0.01</v>
      </c>
      <c r="K6" s="10" t="str">
        <f>IF(I6&lt;=J6,"PASS","FAIL")</f>
        <v>PASS</v>
      </c>
      <c r="L6" s="10" t="s">
        <v>20</v>
      </c>
    </row>
    <row r="7" spans="1:12" x14ac:dyDescent="0.3">
      <c r="A7" s="10">
        <v>1</v>
      </c>
      <c r="B7" s="8" t="s">
        <v>32</v>
      </c>
      <c r="C7" s="10">
        <v>182.79</v>
      </c>
      <c r="D7" s="10" t="s">
        <v>108</v>
      </c>
      <c r="E7" s="9">
        <v>0.82199999999999995</v>
      </c>
      <c r="F7" s="10" t="s">
        <v>109</v>
      </c>
      <c r="G7" s="14">
        <f>C7*E7</f>
        <v>150.25337999999999</v>
      </c>
      <c r="H7" s="14">
        <v>150.2534</v>
      </c>
      <c r="I7" s="9">
        <f>ABS(G7-H7)</f>
        <v>2.0000000006348273E-5</v>
      </c>
      <c r="J7" s="10">
        <v>0.01</v>
      </c>
      <c r="K7" s="10" t="str">
        <f>IF(I7&lt;=J7,"PASS","FAIL")</f>
        <v>PASS</v>
      </c>
      <c r="L7" s="10" t="s">
        <v>20</v>
      </c>
    </row>
    <row r="8" spans="1:12" x14ac:dyDescent="0.3">
      <c r="A8" s="10">
        <v>1</v>
      </c>
      <c r="B8" s="8" t="s">
        <v>38</v>
      </c>
      <c r="C8" s="10">
        <v>718.76</v>
      </c>
      <c r="D8" s="10" t="s">
        <v>108</v>
      </c>
      <c r="E8" s="9">
        <v>1.9</v>
      </c>
      <c r="F8" s="10" t="s">
        <v>109</v>
      </c>
      <c r="G8" s="14">
        <f>C8*E8</f>
        <v>1365.644</v>
      </c>
      <c r="H8" s="14">
        <v>1365.644</v>
      </c>
      <c r="I8" s="9">
        <f>ABS(G8-H8)</f>
        <v>0</v>
      </c>
      <c r="J8" s="10">
        <v>0.01</v>
      </c>
      <c r="K8" s="10" t="str">
        <f>IF(I8&lt;=J8,"PASS","FAIL")</f>
        <v>PASS</v>
      </c>
      <c r="L8" s="10" t="s">
        <v>25</v>
      </c>
    </row>
    <row r="9" spans="1:12" x14ac:dyDescent="0.3">
      <c r="A9" s="3" t="s">
        <v>113</v>
      </c>
      <c r="B9" s="3"/>
      <c r="C9" s="16"/>
      <c r="D9" s="16"/>
      <c r="E9" s="16"/>
      <c r="F9" s="16"/>
      <c r="G9" s="17">
        <f>G5+G6+G7+G8</f>
        <v>21657.718643</v>
      </c>
      <c r="H9" s="16"/>
      <c r="I9" s="16"/>
      <c r="J9" s="16"/>
      <c r="K9" s="16"/>
      <c r="L9" s="18" t="s">
        <v>114</v>
      </c>
    </row>
    <row r="11" spans="1:12" x14ac:dyDescent="0.3">
      <c r="A11" s="10">
        <v>61</v>
      </c>
      <c r="B11" s="8" t="s">
        <v>13</v>
      </c>
      <c r="C11" s="10">
        <v>29537.7</v>
      </c>
      <c r="D11" s="10" t="s">
        <v>108</v>
      </c>
      <c r="E11" s="9">
        <v>0.7117</v>
      </c>
      <c r="F11" s="10" t="s">
        <v>109</v>
      </c>
      <c r="G11" s="14">
        <f>C11*E11</f>
        <v>21021.981090000001</v>
      </c>
      <c r="H11" s="14">
        <v>21021.981100000001</v>
      </c>
      <c r="I11" s="9">
        <f>ABS(G11-H11)</f>
        <v>9.9999997473787516E-6</v>
      </c>
      <c r="J11" s="10">
        <v>0.01</v>
      </c>
      <c r="K11" s="10" t="str">
        <f>IF(I11&lt;=J11,"PASS","FAIL")</f>
        <v>PASS</v>
      </c>
      <c r="L11" s="10" t="s">
        <v>15</v>
      </c>
    </row>
    <row r="12" spans="1:12" x14ac:dyDescent="0.3">
      <c r="A12" s="10">
        <v>61</v>
      </c>
      <c r="B12" s="8" t="s">
        <v>112</v>
      </c>
      <c r="C12" s="10">
        <v>87.89</v>
      </c>
      <c r="D12" s="10" t="s">
        <v>108</v>
      </c>
      <c r="E12" s="9">
        <v>2.68</v>
      </c>
      <c r="F12" s="10" t="s">
        <v>109</v>
      </c>
      <c r="G12" s="14">
        <f>C12*E12</f>
        <v>235.54520000000002</v>
      </c>
      <c r="H12" s="14">
        <v>235.54519999999999</v>
      </c>
      <c r="I12" s="9">
        <f>ABS(G12-H12)</f>
        <v>2.8421709430404007E-14</v>
      </c>
      <c r="J12" s="10">
        <v>0.01</v>
      </c>
      <c r="K12" s="10" t="str">
        <f>IF(I12&lt;=J12,"PASS","FAIL")</f>
        <v>PASS</v>
      </c>
      <c r="L12" s="10" t="s">
        <v>20</v>
      </c>
    </row>
    <row r="13" spans="1:12" x14ac:dyDescent="0.3">
      <c r="A13" s="10">
        <v>61</v>
      </c>
      <c r="B13" s="8" t="s">
        <v>32</v>
      </c>
      <c r="C13" s="10">
        <v>162.27000000000001</v>
      </c>
      <c r="D13" s="10" t="s">
        <v>108</v>
      </c>
      <c r="E13" s="9">
        <v>0.82199999999999995</v>
      </c>
      <c r="F13" s="10" t="s">
        <v>109</v>
      </c>
      <c r="G13" s="14">
        <f>C13*E13</f>
        <v>133.38594000000001</v>
      </c>
      <c r="H13" s="14">
        <v>133.38589999999999</v>
      </c>
      <c r="I13" s="9">
        <f>ABS(G13-H13)</f>
        <v>4.0000000012696546E-5</v>
      </c>
      <c r="J13" s="10">
        <v>0.01</v>
      </c>
      <c r="K13" s="10" t="str">
        <f>IF(I13&lt;=J13,"PASS","FAIL")</f>
        <v>PASS</v>
      </c>
      <c r="L13" s="10" t="s">
        <v>20</v>
      </c>
    </row>
    <row r="14" spans="1:12" x14ac:dyDescent="0.3">
      <c r="A14" s="10">
        <v>61</v>
      </c>
      <c r="B14" s="8" t="s">
        <v>38</v>
      </c>
      <c r="C14" s="10">
        <v>683.46</v>
      </c>
      <c r="D14" s="10" t="s">
        <v>108</v>
      </c>
      <c r="E14" s="9">
        <v>1.9</v>
      </c>
      <c r="F14" s="10" t="s">
        <v>109</v>
      </c>
      <c r="G14" s="14">
        <f>C14*E14</f>
        <v>1298.5740000000001</v>
      </c>
      <c r="H14" s="14">
        <v>1298.5740000000001</v>
      </c>
      <c r="I14" s="9">
        <f>ABS(G14-H14)</f>
        <v>0</v>
      </c>
      <c r="J14" s="10">
        <v>0.01</v>
      </c>
      <c r="K14" s="10" t="str">
        <f>IF(I14&lt;=J14,"PASS","FAIL")</f>
        <v>PASS</v>
      </c>
      <c r="L14" s="10" t="s">
        <v>25</v>
      </c>
    </row>
    <row r="15" spans="1:12" x14ac:dyDescent="0.3">
      <c r="A15" s="3" t="s">
        <v>115</v>
      </c>
      <c r="B15" s="3"/>
      <c r="C15" s="16"/>
      <c r="D15" s="16"/>
      <c r="E15" s="16"/>
      <c r="F15" s="16"/>
      <c r="G15" s="17">
        <f>G11+G12+G13+G14</f>
        <v>22689.486230000002</v>
      </c>
      <c r="H15" s="16"/>
      <c r="I15" s="16"/>
      <c r="J15" s="16"/>
      <c r="K15" s="16"/>
      <c r="L15" s="18" t="s">
        <v>114</v>
      </c>
    </row>
    <row r="17" spans="1:12" x14ac:dyDescent="0.3">
      <c r="A17" s="10">
        <v>121</v>
      </c>
      <c r="B17" s="8" t="s">
        <v>13</v>
      </c>
      <c r="C17" s="10">
        <v>19895.45</v>
      </c>
      <c r="D17" s="10" t="s">
        <v>108</v>
      </c>
      <c r="E17" s="9">
        <v>0.7117</v>
      </c>
      <c r="F17" s="10" t="s">
        <v>109</v>
      </c>
      <c r="G17" s="14">
        <f>C17*E17</f>
        <v>14159.591765000001</v>
      </c>
      <c r="H17" s="14">
        <v>14159.5918</v>
      </c>
      <c r="I17" s="9">
        <f>ABS(G17-H17)</f>
        <v>3.4999999115825631E-5</v>
      </c>
      <c r="J17" s="10">
        <v>0.01</v>
      </c>
      <c r="K17" s="10" t="str">
        <f>IF(I17&lt;=J17,"PASS","FAIL")</f>
        <v>PASS</v>
      </c>
      <c r="L17" s="10" t="s">
        <v>15</v>
      </c>
    </row>
    <row r="18" spans="1:12" x14ac:dyDescent="0.3">
      <c r="A18" s="10">
        <v>121</v>
      </c>
      <c r="B18" s="8" t="s">
        <v>112</v>
      </c>
      <c r="C18" s="10">
        <v>68.48</v>
      </c>
      <c r="D18" s="10" t="s">
        <v>108</v>
      </c>
      <c r="E18" s="9">
        <v>2.68</v>
      </c>
      <c r="F18" s="10" t="s">
        <v>109</v>
      </c>
      <c r="G18" s="14">
        <f>C18*E18</f>
        <v>183.52640000000002</v>
      </c>
      <c r="H18" s="14">
        <v>183.5264</v>
      </c>
      <c r="I18" s="9">
        <f>ABS(G18-H18)</f>
        <v>2.8421709430404007E-14</v>
      </c>
      <c r="J18" s="10">
        <v>0.01</v>
      </c>
      <c r="K18" s="10" t="str">
        <f>IF(I18&lt;=J18,"PASS","FAIL")</f>
        <v>PASS</v>
      </c>
      <c r="L18" s="10" t="s">
        <v>20</v>
      </c>
    </row>
    <row r="19" spans="1:12" x14ac:dyDescent="0.3">
      <c r="A19" s="10">
        <v>121</v>
      </c>
      <c r="B19" s="8" t="s">
        <v>32</v>
      </c>
      <c r="C19" s="10">
        <v>117.41</v>
      </c>
      <c r="D19" s="10" t="s">
        <v>108</v>
      </c>
      <c r="E19" s="9">
        <v>0.82199999999999995</v>
      </c>
      <c r="F19" s="10" t="s">
        <v>109</v>
      </c>
      <c r="G19" s="14">
        <f>C19*E19</f>
        <v>96.511019999999988</v>
      </c>
      <c r="H19" s="14">
        <v>96.510999999999996</v>
      </c>
      <c r="I19" s="9">
        <f>ABS(G19-H19)</f>
        <v>1.9999999992137418E-5</v>
      </c>
      <c r="J19" s="10">
        <v>0.01</v>
      </c>
      <c r="K19" s="10" t="str">
        <f>IF(I19&lt;=J19,"PASS","FAIL")</f>
        <v>PASS</v>
      </c>
      <c r="L19" s="10" t="s">
        <v>20</v>
      </c>
    </row>
    <row r="20" spans="1:12" x14ac:dyDescent="0.3">
      <c r="A20" s="10">
        <v>121</v>
      </c>
      <c r="B20" s="8" t="s">
        <v>38</v>
      </c>
      <c r="C20" s="10">
        <v>505.43</v>
      </c>
      <c r="D20" s="10" t="s">
        <v>108</v>
      </c>
      <c r="E20" s="9">
        <v>1.9</v>
      </c>
      <c r="F20" s="10" t="s">
        <v>109</v>
      </c>
      <c r="G20" s="14">
        <f>C20*E20</f>
        <v>960.31700000000001</v>
      </c>
      <c r="H20" s="14">
        <v>960.31700000000001</v>
      </c>
      <c r="I20" s="9">
        <f>ABS(G20-H20)</f>
        <v>0</v>
      </c>
      <c r="J20" s="10">
        <v>0.01</v>
      </c>
      <c r="K20" s="10" t="str">
        <f>IF(I20&lt;=J20,"PASS","FAIL")</f>
        <v>PASS</v>
      </c>
      <c r="L20" s="10" t="s">
        <v>25</v>
      </c>
    </row>
    <row r="21" spans="1:12" x14ac:dyDescent="0.3">
      <c r="A21" s="3" t="s">
        <v>116</v>
      </c>
      <c r="B21" s="3"/>
      <c r="C21" s="16"/>
      <c r="D21" s="16"/>
      <c r="E21" s="16"/>
      <c r="F21" s="16"/>
      <c r="G21" s="17">
        <f>G17+G18+G19+G20</f>
        <v>15399.946185000001</v>
      </c>
      <c r="H21" s="16"/>
      <c r="I21" s="16"/>
      <c r="J21" s="16"/>
      <c r="K21" s="16"/>
      <c r="L21" s="18" t="s">
        <v>114</v>
      </c>
    </row>
    <row r="23" spans="1:12" x14ac:dyDescent="0.3">
      <c r="A23" s="10">
        <v>181</v>
      </c>
      <c r="B23" s="8" t="s">
        <v>13</v>
      </c>
      <c r="C23" s="10">
        <v>28960.5</v>
      </c>
      <c r="D23" s="10" t="s">
        <v>108</v>
      </c>
      <c r="E23" s="9">
        <v>0.7117</v>
      </c>
      <c r="F23" s="10" t="s">
        <v>109</v>
      </c>
      <c r="G23" s="14">
        <f>C23*E23</f>
        <v>20611.187849999998</v>
      </c>
      <c r="H23" s="14">
        <v>20611.1878</v>
      </c>
      <c r="I23" s="9">
        <f>ABS(G23-H23)</f>
        <v>4.9999998736893758E-5</v>
      </c>
      <c r="J23" s="10">
        <v>0.01</v>
      </c>
      <c r="K23" s="10" t="str">
        <f>IF(I23&lt;=J23,"PASS","FAIL")</f>
        <v>PASS</v>
      </c>
      <c r="L23" s="10" t="s">
        <v>15</v>
      </c>
    </row>
    <row r="24" spans="1:12" x14ac:dyDescent="0.3">
      <c r="A24" s="10">
        <v>181</v>
      </c>
      <c r="B24" s="8" t="s">
        <v>112</v>
      </c>
      <c r="C24" s="10">
        <v>96.06</v>
      </c>
      <c r="D24" s="10" t="s">
        <v>108</v>
      </c>
      <c r="E24" s="9">
        <v>2.68</v>
      </c>
      <c r="F24" s="10" t="s">
        <v>109</v>
      </c>
      <c r="G24" s="14">
        <f>C24*E24</f>
        <v>257.44080000000002</v>
      </c>
      <c r="H24" s="14">
        <v>257.44080000000002</v>
      </c>
      <c r="I24" s="9">
        <f>ABS(G24-H24)</f>
        <v>0</v>
      </c>
      <c r="J24" s="10">
        <v>0.01</v>
      </c>
      <c r="K24" s="10" t="str">
        <f>IF(I24&lt;=J24,"PASS","FAIL")</f>
        <v>PASS</v>
      </c>
      <c r="L24" s="10" t="s">
        <v>20</v>
      </c>
    </row>
    <row r="25" spans="1:12" x14ac:dyDescent="0.3">
      <c r="A25" s="10">
        <v>181</v>
      </c>
      <c r="B25" s="8" t="s">
        <v>32</v>
      </c>
      <c r="C25" s="10">
        <v>185.69</v>
      </c>
      <c r="D25" s="10" t="s">
        <v>108</v>
      </c>
      <c r="E25" s="9">
        <v>0.82199999999999995</v>
      </c>
      <c r="F25" s="10" t="s">
        <v>109</v>
      </c>
      <c r="G25" s="14">
        <f>C25*E25</f>
        <v>152.63718</v>
      </c>
      <c r="H25" s="14">
        <v>152.63720000000001</v>
      </c>
      <c r="I25" s="9">
        <f>ABS(G25-H25)</f>
        <v>2.0000000006348273E-5</v>
      </c>
      <c r="J25" s="10">
        <v>0.01</v>
      </c>
      <c r="K25" s="10" t="str">
        <f>IF(I25&lt;=J25,"PASS","FAIL")</f>
        <v>PASS</v>
      </c>
      <c r="L25" s="10" t="s">
        <v>20</v>
      </c>
    </row>
    <row r="26" spans="1:12" x14ac:dyDescent="0.3">
      <c r="A26" s="10">
        <v>181</v>
      </c>
      <c r="B26" s="8" t="s">
        <v>38</v>
      </c>
      <c r="C26" s="10">
        <v>721.62</v>
      </c>
      <c r="D26" s="10" t="s">
        <v>108</v>
      </c>
      <c r="E26" s="9">
        <v>1.9</v>
      </c>
      <c r="F26" s="10" t="s">
        <v>109</v>
      </c>
      <c r="G26" s="14">
        <f>C26*E26</f>
        <v>1371.078</v>
      </c>
      <c r="H26" s="14">
        <v>1371.078</v>
      </c>
      <c r="I26" s="9">
        <f>ABS(G26-H26)</f>
        <v>0</v>
      </c>
      <c r="J26" s="10">
        <v>0.01</v>
      </c>
      <c r="K26" s="10" t="str">
        <f>IF(I26&lt;=J26,"PASS","FAIL")</f>
        <v>PASS</v>
      </c>
      <c r="L26" s="10" t="s">
        <v>25</v>
      </c>
    </row>
    <row r="27" spans="1:12" x14ac:dyDescent="0.3">
      <c r="A27" s="3" t="s">
        <v>117</v>
      </c>
      <c r="B27" s="3"/>
      <c r="C27" s="16"/>
      <c r="D27" s="16"/>
      <c r="E27" s="16"/>
      <c r="F27" s="16"/>
      <c r="G27" s="17">
        <f>G23+G24+G25+G26</f>
        <v>22392.343830000002</v>
      </c>
      <c r="H27" s="16"/>
      <c r="I27" s="16"/>
      <c r="J27" s="16"/>
      <c r="K27" s="16"/>
      <c r="L27" s="18" t="s">
        <v>114</v>
      </c>
    </row>
    <row r="29" spans="1:12" x14ac:dyDescent="0.3">
      <c r="A29" s="10">
        <v>241</v>
      </c>
      <c r="B29" s="8" t="s">
        <v>13</v>
      </c>
      <c r="C29" s="10">
        <v>28390.35</v>
      </c>
      <c r="D29" s="10" t="s">
        <v>108</v>
      </c>
      <c r="E29" s="9">
        <v>0.7117</v>
      </c>
      <c r="F29" s="10" t="s">
        <v>109</v>
      </c>
      <c r="G29" s="14">
        <f>C29*E29</f>
        <v>20205.412095</v>
      </c>
      <c r="H29" s="14">
        <v>20205.412100000001</v>
      </c>
      <c r="I29" s="9">
        <f>ABS(G29-H29)</f>
        <v>5.0000016926787794E-6</v>
      </c>
      <c r="J29" s="10">
        <v>0.01</v>
      </c>
      <c r="K29" s="10" t="str">
        <f>IF(I29&lt;=J29,"PASS","FAIL")</f>
        <v>PASS</v>
      </c>
      <c r="L29" s="10" t="s">
        <v>15</v>
      </c>
    </row>
    <row r="30" spans="1:12" x14ac:dyDescent="0.3">
      <c r="A30" s="10">
        <v>241</v>
      </c>
      <c r="B30" s="8" t="s">
        <v>112</v>
      </c>
      <c r="C30" s="10">
        <v>102.17</v>
      </c>
      <c r="D30" s="10" t="s">
        <v>108</v>
      </c>
      <c r="E30" s="9">
        <v>2.68</v>
      </c>
      <c r="F30" s="10" t="s">
        <v>109</v>
      </c>
      <c r="G30" s="14">
        <f>C30*E30</f>
        <v>273.81560000000002</v>
      </c>
      <c r="H30" s="14">
        <v>273.81560000000002</v>
      </c>
      <c r="I30" s="9">
        <f>ABS(G30-H30)</f>
        <v>0</v>
      </c>
      <c r="J30" s="10">
        <v>0.01</v>
      </c>
      <c r="K30" s="10" t="str">
        <f>IF(I30&lt;=J30,"PASS","FAIL")</f>
        <v>PASS</v>
      </c>
      <c r="L30" s="10" t="s">
        <v>20</v>
      </c>
    </row>
    <row r="31" spans="1:12" x14ac:dyDescent="0.3">
      <c r="A31" s="10">
        <v>241</v>
      </c>
      <c r="B31" s="8" t="s">
        <v>32</v>
      </c>
      <c r="C31" s="10">
        <v>193.44</v>
      </c>
      <c r="D31" s="10" t="s">
        <v>108</v>
      </c>
      <c r="E31" s="9">
        <v>0.82199999999999995</v>
      </c>
      <c r="F31" s="10" t="s">
        <v>109</v>
      </c>
      <c r="G31" s="14">
        <f>C31*E31</f>
        <v>159.00767999999999</v>
      </c>
      <c r="H31" s="14">
        <v>159.0077</v>
      </c>
      <c r="I31" s="9">
        <f>ABS(G31-H31)</f>
        <v>2.0000000006348273E-5</v>
      </c>
      <c r="J31" s="10">
        <v>0.01</v>
      </c>
      <c r="K31" s="10" t="str">
        <f>IF(I31&lt;=J31,"PASS","FAIL")</f>
        <v>PASS</v>
      </c>
      <c r="L31" s="10" t="s">
        <v>20</v>
      </c>
    </row>
    <row r="32" spans="1:12" x14ac:dyDescent="0.3">
      <c r="A32" s="10">
        <v>241</v>
      </c>
      <c r="B32" s="8" t="s">
        <v>38</v>
      </c>
      <c r="C32" s="10">
        <v>634.67999999999995</v>
      </c>
      <c r="D32" s="10" t="s">
        <v>108</v>
      </c>
      <c r="E32" s="9">
        <v>1.9</v>
      </c>
      <c r="F32" s="10" t="s">
        <v>109</v>
      </c>
      <c r="G32" s="14">
        <f>C32*E32</f>
        <v>1205.8919999999998</v>
      </c>
      <c r="H32" s="14">
        <v>1205.8920000000001</v>
      </c>
      <c r="I32" s="9">
        <f>ABS(G32-H32)</f>
        <v>2.2737367544323206E-13</v>
      </c>
      <c r="J32" s="10">
        <v>0.01</v>
      </c>
      <c r="K32" s="10" t="str">
        <f>IF(I32&lt;=J32,"PASS","FAIL")</f>
        <v>PASS</v>
      </c>
      <c r="L32" s="10" t="s">
        <v>25</v>
      </c>
    </row>
    <row r="33" spans="1:12" x14ac:dyDescent="0.3">
      <c r="A33" s="3" t="s">
        <v>118</v>
      </c>
      <c r="B33" s="3"/>
      <c r="C33" s="16"/>
      <c r="D33" s="16"/>
      <c r="E33" s="16"/>
      <c r="F33" s="16"/>
      <c r="G33" s="17">
        <f>G29+G30+G31+G32</f>
        <v>21844.127375</v>
      </c>
      <c r="H33" s="16"/>
      <c r="I33" s="16"/>
      <c r="J33" s="16"/>
      <c r="K33" s="16"/>
      <c r="L33" s="18" t="s">
        <v>114</v>
      </c>
    </row>
    <row r="35" spans="1:12" x14ac:dyDescent="0.3">
      <c r="A35" s="10">
        <v>301</v>
      </c>
      <c r="B35" s="8" t="s">
        <v>13</v>
      </c>
      <c r="C35" s="10">
        <v>24855.73</v>
      </c>
      <c r="D35" s="10" t="s">
        <v>108</v>
      </c>
      <c r="E35" s="9">
        <v>0.7117</v>
      </c>
      <c r="F35" s="10" t="s">
        <v>109</v>
      </c>
      <c r="G35" s="14">
        <f>C35*E35</f>
        <v>17689.823041</v>
      </c>
      <c r="H35" s="14">
        <v>17689.823</v>
      </c>
      <c r="I35" s="9">
        <f>ABS(G35-H35)</f>
        <v>4.0999999328050762E-5</v>
      </c>
      <c r="J35" s="10">
        <v>0.01</v>
      </c>
      <c r="K35" s="10" t="str">
        <f>IF(I35&lt;=J35,"PASS","FAIL")</f>
        <v>PASS</v>
      </c>
      <c r="L35" s="10" t="s">
        <v>15</v>
      </c>
    </row>
    <row r="36" spans="1:12" x14ac:dyDescent="0.3">
      <c r="A36" s="10">
        <v>301</v>
      </c>
      <c r="B36" s="8" t="s">
        <v>112</v>
      </c>
      <c r="C36" s="10">
        <v>100.85</v>
      </c>
      <c r="D36" s="10" t="s">
        <v>108</v>
      </c>
      <c r="E36" s="9">
        <v>2.68</v>
      </c>
      <c r="F36" s="10" t="s">
        <v>109</v>
      </c>
      <c r="G36" s="14">
        <f>C36*E36</f>
        <v>270.27800000000002</v>
      </c>
      <c r="H36" s="14">
        <v>270.27800000000002</v>
      </c>
      <c r="I36" s="9">
        <f>ABS(G36-H36)</f>
        <v>0</v>
      </c>
      <c r="J36" s="10">
        <v>0.01</v>
      </c>
      <c r="K36" s="10" t="str">
        <f>IF(I36&lt;=J36,"PASS","FAIL")</f>
        <v>PASS</v>
      </c>
      <c r="L36" s="10" t="s">
        <v>20</v>
      </c>
    </row>
    <row r="37" spans="1:12" x14ac:dyDescent="0.3">
      <c r="A37" s="10">
        <v>301</v>
      </c>
      <c r="B37" s="8" t="s">
        <v>32</v>
      </c>
      <c r="C37" s="10">
        <v>173.28</v>
      </c>
      <c r="D37" s="10" t="s">
        <v>108</v>
      </c>
      <c r="E37" s="9">
        <v>0.82199999999999995</v>
      </c>
      <c r="F37" s="10" t="s">
        <v>109</v>
      </c>
      <c r="G37" s="14">
        <f>C37*E37</f>
        <v>142.43616</v>
      </c>
      <c r="H37" s="14">
        <v>142.43620000000001</v>
      </c>
      <c r="I37" s="9">
        <f>ABS(G37-H37)</f>
        <v>4.0000000012696546E-5</v>
      </c>
      <c r="J37" s="10">
        <v>0.01</v>
      </c>
      <c r="K37" s="10" t="str">
        <f>IF(I37&lt;=J37,"PASS","FAIL")</f>
        <v>PASS</v>
      </c>
      <c r="L37" s="10" t="s">
        <v>20</v>
      </c>
    </row>
    <row r="38" spans="1:12" x14ac:dyDescent="0.3">
      <c r="A38" s="10">
        <v>301</v>
      </c>
      <c r="B38" s="8" t="s">
        <v>38</v>
      </c>
      <c r="C38" s="10">
        <v>605.69000000000005</v>
      </c>
      <c r="D38" s="10" t="s">
        <v>108</v>
      </c>
      <c r="E38" s="9">
        <v>1.9</v>
      </c>
      <c r="F38" s="10" t="s">
        <v>109</v>
      </c>
      <c r="G38" s="14">
        <f>C38*E38</f>
        <v>1150.8110000000001</v>
      </c>
      <c r="H38" s="14">
        <v>1150.8109999999999</v>
      </c>
      <c r="I38" s="9">
        <f>ABS(G38-H38)</f>
        <v>2.2737367544323206E-13</v>
      </c>
      <c r="J38" s="10">
        <v>0.01</v>
      </c>
      <c r="K38" s="10" t="str">
        <f>IF(I38&lt;=J38,"PASS","FAIL")</f>
        <v>PASS</v>
      </c>
      <c r="L38" s="10" t="s">
        <v>25</v>
      </c>
    </row>
    <row r="39" spans="1:12" x14ac:dyDescent="0.3">
      <c r="A39" s="3" t="s">
        <v>119</v>
      </c>
      <c r="B39" s="3"/>
      <c r="C39" s="16"/>
      <c r="D39" s="16"/>
      <c r="E39" s="16"/>
      <c r="F39" s="16"/>
      <c r="G39" s="17">
        <f>G35+G36+G37+G38</f>
        <v>19253.348201000001</v>
      </c>
      <c r="H39" s="16"/>
      <c r="I39" s="16"/>
      <c r="J39" s="16"/>
      <c r="K39" s="16"/>
      <c r="L39" s="18" t="s">
        <v>114</v>
      </c>
    </row>
    <row r="42" spans="1:12" ht="21.75" customHeight="1" x14ac:dyDescent="0.3">
      <c r="A42" s="2" t="s">
        <v>120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9.5" customHeight="1" x14ac:dyDescent="0.3">
      <c r="A43" s="7" t="s">
        <v>10</v>
      </c>
      <c r="B43" s="7" t="s">
        <v>121</v>
      </c>
      <c r="C43" s="7" t="s">
        <v>122</v>
      </c>
    </row>
    <row r="44" spans="1:12" x14ac:dyDescent="0.3">
      <c r="A44" s="19" t="s">
        <v>20</v>
      </c>
      <c r="B44" s="8" t="s">
        <v>123</v>
      </c>
      <c r="C44" s="20">
        <f>G6+G12+G18+G24+G30+G36+G7+G13+G19+G25+G31+G37</f>
        <v>2313.61816</v>
      </c>
    </row>
    <row r="45" spans="1:12" x14ac:dyDescent="0.3">
      <c r="A45" s="19" t="s">
        <v>15</v>
      </c>
      <c r="B45" s="8" t="s">
        <v>13</v>
      </c>
      <c r="C45" s="20">
        <f>G5+G11+G17+G23+G29+G35</f>
        <v>113571.03630400001</v>
      </c>
    </row>
    <row r="46" spans="1:12" x14ac:dyDescent="0.3">
      <c r="A46" s="19" t="s">
        <v>25</v>
      </c>
      <c r="B46" s="8" t="s">
        <v>38</v>
      </c>
      <c r="C46" s="20">
        <f>G8+G14+G20+G26+G32+G38</f>
        <v>7352.3159999999989</v>
      </c>
    </row>
    <row r="47" spans="1:12" x14ac:dyDescent="0.3">
      <c r="A47" s="21" t="s">
        <v>124</v>
      </c>
      <c r="B47" s="22" t="s">
        <v>125</v>
      </c>
      <c r="C47" s="23">
        <f>C44+C45+C46</f>
        <v>123236.97046400001</v>
      </c>
    </row>
  </sheetData>
  <mergeCells count="9">
    <mergeCell ref="A27:B27"/>
    <mergeCell ref="A33:B33"/>
    <mergeCell ref="A39:B39"/>
    <mergeCell ref="A42:L42"/>
    <mergeCell ref="A1:L1"/>
    <mergeCell ref="A2:L2"/>
    <mergeCell ref="A9:B9"/>
    <mergeCell ref="A15:B15"/>
    <mergeCell ref="A21:B2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3D"/>
    <pageSetUpPr fitToPage="1"/>
  </sheetPr>
  <dimension ref="A1:E33"/>
  <sheetViews>
    <sheetView showGridLines="0" zoomScaleNormal="100" workbookViewId="0">
      <selection sqref="A1:E1"/>
    </sheetView>
  </sheetViews>
  <sheetFormatPr defaultColWidth="8.6640625" defaultRowHeight="14.4" x14ac:dyDescent="0.3"/>
  <cols>
    <col min="1" max="1" width="30" customWidth="1"/>
    <col min="2" max="2" width="22" customWidth="1"/>
    <col min="3" max="3" width="4" customWidth="1"/>
    <col min="4" max="4" width="30" customWidth="1"/>
    <col min="5" max="5" width="22" customWidth="1"/>
  </cols>
  <sheetData>
    <row r="1" spans="1:5" ht="27.75" customHeight="1" x14ac:dyDescent="0.3">
      <c r="A1" s="1" t="s">
        <v>126</v>
      </c>
      <c r="B1" s="1"/>
      <c r="C1" s="1"/>
      <c r="D1" s="1"/>
      <c r="E1" s="1"/>
    </row>
    <row r="3" spans="1:5" x14ac:dyDescent="0.3">
      <c r="A3" s="6" t="s">
        <v>127</v>
      </c>
      <c r="B3" s="6"/>
    </row>
    <row r="4" spans="1:5" x14ac:dyDescent="0.3">
      <c r="A4" s="24" t="s">
        <v>128</v>
      </c>
      <c r="B4" s="25">
        <f>COUNTA('QA Validation Log'!$K$4:$K$17)</f>
        <v>14</v>
      </c>
    </row>
    <row r="5" spans="1:5" x14ac:dyDescent="0.3">
      <c r="A5" s="24" t="s">
        <v>129</v>
      </c>
      <c r="B5" s="25">
        <f>COUNTIF('QA Validation Log'!$K$4:$K$17,"PASS")</f>
        <v>14</v>
      </c>
    </row>
    <row r="6" spans="1:5" x14ac:dyDescent="0.3">
      <c r="A6" s="24" t="s">
        <v>130</v>
      </c>
      <c r="B6" s="25">
        <f>COUNTIF('QA Validation Log'!$K$4:$K$17,"FAIL")</f>
        <v>0</v>
      </c>
    </row>
    <row r="7" spans="1:5" x14ac:dyDescent="0.3">
      <c r="A7" s="24" t="s">
        <v>131</v>
      </c>
      <c r="B7" s="26">
        <f>B5/B4</f>
        <v>1</v>
      </c>
    </row>
    <row r="8" spans="1:5" x14ac:dyDescent="0.3">
      <c r="A8" s="24" t="s">
        <v>132</v>
      </c>
      <c r="B8" s="27">
        <f>MAX('QA Validation Log'!$I$4:$I$17)</f>
        <v>3.6999997973907739E-5</v>
      </c>
    </row>
    <row r="9" spans="1:5" x14ac:dyDescent="0.3">
      <c r="A9" s="24" t="s">
        <v>133</v>
      </c>
      <c r="B9" s="27">
        <f>MIN('QA Validation Log'!$I$4:$I$17)</f>
        <v>0</v>
      </c>
    </row>
    <row r="10" spans="1:5" x14ac:dyDescent="0.3">
      <c r="A10" s="24" t="s">
        <v>134</v>
      </c>
      <c r="B10" s="27">
        <f>AVERAGE('QA Validation Log'!$I$4:$I$17)</f>
        <v>4.0714284283030878E-6</v>
      </c>
    </row>
    <row r="11" spans="1:5" x14ac:dyDescent="0.3">
      <c r="A11" s="28" t="s">
        <v>135</v>
      </c>
      <c r="B11" s="29" t="str">
        <f>IF(B6=0,"APPROVED","REVIEW REQUIRED")</f>
        <v>APPROVED</v>
      </c>
    </row>
    <row r="14" spans="1:5" x14ac:dyDescent="0.3">
      <c r="A14" s="6" t="s">
        <v>136</v>
      </c>
      <c r="B14" s="6"/>
      <c r="C14" s="6"/>
      <c r="D14" s="6"/>
      <c r="E14" s="6"/>
    </row>
    <row r="15" spans="1:5" ht="15.75" customHeight="1" x14ac:dyDescent="0.3">
      <c r="A15" s="31" t="s">
        <v>137</v>
      </c>
      <c r="B15" s="31"/>
      <c r="C15" s="31"/>
      <c r="D15" s="31"/>
      <c r="E15" s="31"/>
    </row>
    <row r="16" spans="1:5" ht="15.75" customHeight="1" x14ac:dyDescent="0.3">
      <c r="A16" s="31" t="s">
        <v>138</v>
      </c>
      <c r="B16" s="31"/>
      <c r="C16" s="31"/>
      <c r="D16" s="31"/>
      <c r="E16" s="31"/>
    </row>
    <row r="17" spans="1:5" ht="15.75" customHeight="1" x14ac:dyDescent="0.3">
      <c r="A17" s="31" t="s">
        <v>139</v>
      </c>
      <c r="B17" s="31"/>
      <c r="C17" s="31"/>
      <c r="D17" s="31"/>
      <c r="E17" s="31"/>
    </row>
    <row r="18" spans="1:5" ht="15.75" customHeight="1" x14ac:dyDescent="0.3">
      <c r="A18" s="31" t="s">
        <v>140</v>
      </c>
      <c r="B18" s="31"/>
      <c r="C18" s="31"/>
      <c r="D18" s="31"/>
      <c r="E18" s="31"/>
    </row>
    <row r="19" spans="1:5" ht="15.75" customHeight="1" x14ac:dyDescent="0.3">
      <c r="A19" s="31" t="s">
        <v>141</v>
      </c>
      <c r="B19" s="31"/>
      <c r="C19" s="31"/>
      <c r="D19" s="31"/>
      <c r="E19" s="31"/>
    </row>
    <row r="21" spans="1:5" x14ac:dyDescent="0.3">
      <c r="A21" s="6" t="s">
        <v>142</v>
      </c>
      <c r="B21" s="6"/>
      <c r="C21" s="6"/>
      <c r="D21" s="6"/>
      <c r="E21" s="6"/>
    </row>
    <row r="22" spans="1:5" ht="15.75" customHeight="1" x14ac:dyDescent="0.3">
      <c r="A22" s="32" t="s">
        <v>143</v>
      </c>
      <c r="B22" s="32"/>
      <c r="C22" s="32"/>
      <c r="D22" s="32"/>
      <c r="E22" s="32"/>
    </row>
    <row r="23" spans="1:5" ht="15.75" customHeight="1" x14ac:dyDescent="0.3">
      <c r="A23" s="32"/>
      <c r="B23" s="32"/>
      <c r="C23" s="32"/>
      <c r="D23" s="32"/>
      <c r="E23" s="32"/>
    </row>
    <row r="24" spans="1:5" ht="15.75" customHeight="1" x14ac:dyDescent="0.3">
      <c r="A24" s="32"/>
      <c r="B24" s="32"/>
      <c r="C24" s="32"/>
      <c r="D24" s="32"/>
      <c r="E24" s="32"/>
    </row>
    <row r="25" spans="1:5" ht="15.75" customHeight="1" x14ac:dyDescent="0.3">
      <c r="A25" s="32"/>
      <c r="B25" s="32"/>
      <c r="C25" s="32"/>
      <c r="D25" s="32"/>
      <c r="E25" s="32"/>
    </row>
    <row r="27" spans="1:5" x14ac:dyDescent="0.3">
      <c r="A27" s="6" t="s">
        <v>144</v>
      </c>
      <c r="B27" s="6"/>
      <c r="C27" s="6"/>
      <c r="D27" s="6"/>
      <c r="E27" s="6"/>
    </row>
    <row r="28" spans="1:5" ht="18" customHeight="1" x14ac:dyDescent="0.3">
      <c r="A28" s="30" t="s">
        <v>0</v>
      </c>
      <c r="B28" s="33" t="s">
        <v>1</v>
      </c>
      <c r="C28" s="33"/>
      <c r="D28" s="33"/>
      <c r="E28" s="33"/>
    </row>
    <row r="29" spans="1:5" ht="18" customHeight="1" x14ac:dyDescent="0.3">
      <c r="A29" s="30" t="s">
        <v>2</v>
      </c>
      <c r="B29" s="33" t="s">
        <v>3</v>
      </c>
      <c r="C29" s="33"/>
      <c r="D29" s="33"/>
      <c r="E29" s="33"/>
    </row>
    <row r="30" spans="1:5" ht="18" customHeight="1" x14ac:dyDescent="0.3">
      <c r="A30" s="30" t="s">
        <v>58</v>
      </c>
      <c r="B30" s="34" t="s">
        <v>5</v>
      </c>
      <c r="C30" s="34"/>
      <c r="D30" s="34"/>
      <c r="E30" s="34"/>
    </row>
    <row r="31" spans="1:5" ht="18" customHeight="1" x14ac:dyDescent="0.3">
      <c r="A31" s="30" t="s">
        <v>145</v>
      </c>
      <c r="B31" s="33" t="s">
        <v>146</v>
      </c>
      <c r="C31" s="33"/>
      <c r="D31" s="33"/>
      <c r="E31" s="33"/>
    </row>
    <row r="32" spans="1:5" ht="18" customHeight="1" x14ac:dyDescent="0.3">
      <c r="A32" s="30" t="s">
        <v>147</v>
      </c>
      <c r="B32" s="33" t="s">
        <v>4</v>
      </c>
      <c r="C32" s="33"/>
      <c r="D32" s="33"/>
      <c r="E32" s="33"/>
    </row>
    <row r="33" spans="1:5" ht="18" customHeight="1" x14ac:dyDescent="0.3">
      <c r="A33" s="30" t="s">
        <v>148</v>
      </c>
      <c r="B33" s="33" t="s">
        <v>149</v>
      </c>
      <c r="C33" s="33"/>
      <c r="D33" s="33"/>
      <c r="E33" s="33"/>
    </row>
  </sheetData>
  <mergeCells count="17">
    <mergeCell ref="B32:E32"/>
    <mergeCell ref="B33:E33"/>
    <mergeCell ref="A27:E27"/>
    <mergeCell ref="B28:E28"/>
    <mergeCell ref="B29:E29"/>
    <mergeCell ref="B30:E30"/>
    <mergeCell ref="B31:E31"/>
    <mergeCell ref="A17:E17"/>
    <mergeCell ref="A18:E18"/>
    <mergeCell ref="A19:E19"/>
    <mergeCell ref="A21:E21"/>
    <mergeCell ref="A22:E25"/>
    <mergeCell ref="A1:E1"/>
    <mergeCell ref="A3:B3"/>
    <mergeCell ref="A14:E14"/>
    <mergeCell ref="A15:E15"/>
    <mergeCell ref="A16:E16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Emission Factors</vt:lpstr>
      <vt:lpstr>QA Validation Log</vt:lpstr>
      <vt:lpstr>Manual Validation</vt:lpstr>
      <vt:lpstr>QA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Rahil Shah</cp:lastModifiedBy>
  <cp:revision>0</cp:revision>
  <dcterms:created xsi:type="dcterms:W3CDTF">2026-07-15T08:33:38Z</dcterms:created>
  <dcterms:modified xsi:type="dcterms:W3CDTF">2026-07-17T06:16:18Z</dcterms:modified>
  <dc:language>en-US</dc:language>
</cp:coreProperties>
</file>