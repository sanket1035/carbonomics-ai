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Population" sheetId="2" state="visible" r:id="rId2"/>
    <sheet xmlns:r="http://schemas.openxmlformats.org/officeDocument/2006/relationships" name="2_Electricity_Monthly" sheetId="3" state="visible" r:id="rId3"/>
    <sheet xmlns:r="http://schemas.openxmlformats.org/officeDocument/2006/relationships" name="3_Diesel_Generator" sheetId="4" state="visible" r:id="rId4"/>
    <sheet xmlns:r="http://schemas.openxmlformats.org/officeDocument/2006/relationships" name="4_AC_Inventory" sheetId="5" state="visible" r:id="rId5"/>
    <sheet xmlns:r="http://schemas.openxmlformats.org/officeDocument/2006/relationships" name="5_Refrigerant_Gap" sheetId="6" state="visible" r:id="rId6"/>
    <sheet xmlns:r="http://schemas.openxmlformats.org/officeDocument/2006/relationships" name="6_Solar_Monthly" sheetId="7" state="visible" r:id="rId7"/>
    <sheet xmlns:r="http://schemas.openxmlformats.org/officeDocument/2006/relationships" name="7_Bus_Fleet_Scope1" sheetId="8" state="visible" r:id="rId8"/>
    <sheet xmlns:r="http://schemas.openxmlformats.org/officeDocument/2006/relationships" name="8_FieldVisits_Scope3" sheetId="9" state="visible" r:id="rId9"/>
    <sheet xmlns:r="http://schemas.openxmlformats.org/officeDocument/2006/relationships" name="9_Business_Travel" sheetId="10" state="visible" r:id="rId10"/>
    <sheet xmlns:r="http://schemas.openxmlformats.org/officeDocument/2006/relationships" name="10_Commuting" sheetId="11" state="visible" r:id="rId11"/>
    <sheet xmlns:r="http://schemas.openxmlformats.org/officeDocument/2006/relationships" name="11_Wastewater" sheetId="12" state="visible" r:id="rId12"/>
    <sheet xmlns:r="http://schemas.openxmlformats.org/officeDocument/2006/relationships" name="12_Water_Storage" sheetId="13" state="visible" r:id="rId13"/>
    <sheet xmlns:r="http://schemas.openxmlformats.org/officeDocument/2006/relationships" name="13_Solid_Waste" sheetId="14" state="visible" r:id="rId14"/>
    <sheet xmlns:r="http://schemas.openxmlformats.org/officeDocument/2006/relationships" name="14_Green_Cover" sheetId="15" state="visible" r:id="rId15"/>
    <sheet xmlns:r="http://schemas.openxmlformats.org/officeDocument/2006/relationships" name="15_Campus_Infrastructure" sheetId="16" state="visible" r:id="rId16"/>
    <sheet xmlns:r="http://schemas.openxmlformats.org/officeDocument/2006/relationships" name="16_Parking_Survey" sheetId="17" state="visible" r:id="rId17"/>
    <sheet xmlns:r="http://schemas.openxmlformats.org/officeDocument/2006/relationships" name="17_Emission_Factors" sheetId="18" state="visible" r:id="rId18"/>
    <sheet xmlns:r="http://schemas.openxmlformats.org/officeDocument/2006/relationships" name="18_Scope_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  <sz val="11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30" customWidth="1" min="2" max="2"/>
  </cols>
  <sheetData>
    <row r="1">
      <c r="A1" s="1" t="inlineStr">
        <is>
          <t>KKWIEER PANCHVATI CAMPUS — MASTER CARBON FOOTPRINT DATASET (FY 2025–26)</t>
        </is>
      </c>
    </row>
    <row r="3" ht="15" customHeight="1">
      <c r="A3" s="2" t="inlineStr">
        <is>
          <t>Purpose:</t>
        </is>
      </c>
      <c r="B3" s="3" t="inlineStr">
        <is>
          <t>Consolidated machine-readable dataset compiled from all source files for model training.</t>
        </is>
      </c>
    </row>
    <row r="4" ht="15" customHeight="1">
      <c r="A4" s="2" t="inlineStr">
        <is>
          <t>Compiled:</t>
        </is>
      </c>
      <c r="B4" s="3" t="inlineStr">
        <is>
          <t>October 2026</t>
        </is>
      </c>
    </row>
    <row r="5" ht="30" customHeight="1">
      <c r="A5" s="2" t="inlineStr">
        <is>
          <t>Source files:</t>
        </is>
      </c>
      <c r="B5" s="3" t="inlineStr">
        <is>
          <t>Carbon Footprint Data (1).xlsx; KKWIEER_Carbon_Footprint_Report_FY2025-26_REVISED_3; KKWIEER_Energy_Consumption_GHG_Emissions.docx; carbonfootprint - energy data final.pdf; KKWIEER_Student_Commuting_Carbon_Footprint_2025_26; transport data.docx; KKWIEER Transport Section.docx; KKWIEER_Domestic_Wastewater_Emissions_Revised.docx; Campus_Area_Infrastructure_Water_Storage.docx; Panchvati_Campus_Population_Profile.docx</t>
        </is>
      </c>
    </row>
    <row r="6" ht="30" customHeight="1">
      <c r="A6" s="2" t="inlineStr">
        <is>
          <t>Campus:</t>
        </is>
      </c>
      <c r="B6" s="3" t="inlineStr">
        <is>
          <t>K.K. Wagh Panchvati Campus, Hirabai Haridas Vidyanagari, Amrutdham, Panchavati, Nashik – 422003 (Engineering + Polytechnic + Pharmacy)</t>
        </is>
      </c>
    </row>
    <row r="7" ht="30" customHeight="1">
      <c r="A7" s="2" t="inlineStr">
        <is>
          <t>Total quantified footprint:</t>
        </is>
      </c>
      <c r="B7" s="3" t="inlineStr">
        <is>
          <t>3,719.74 tCO2e/year (Scope 1: 966.10 | Scope 2: 751.99 | Scope 3: 2,001.65) — per REVISED_3 main report</t>
        </is>
      </c>
    </row>
    <row r="8" ht="30" customHeight="1">
      <c r="A8" s="2" t="inlineStr">
        <is>
          <t>KEY DISCREPANCY FLAG:</t>
        </is>
      </c>
      <c r="B8" s="3" t="inlineStr">
        <is>
          <t>Student commuting appears as 1,896.90 tCO2e in the main report (909 responses, 7,400 survey-basis population) but 992.35 tCO2e in the revised commuting assessment (907 responses, extrapolated to full 8,633 population). BOTH versions are provided in sheet '10_Commuting' — do not mix them.</t>
        </is>
      </c>
    </row>
    <row r="9" ht="30" customHeight="1">
      <c r="A9" s="2" t="inlineStr">
        <is>
          <t>Other flags:</t>
        </is>
      </c>
      <c r="B9" s="3" t="inlineStr">
        <is>
          <t>DG factor corrected 2.68 (old sheet) -&gt; 2.89 kgCO2/L (CEA, report). Refrigerant table in old sheet is INVALID (equipment capacity in litres, not refrigerant kg) — excluded from footprint; kept as data gap.</t>
        </is>
      </c>
    </row>
    <row r="10" ht="15" customHeight="1">
      <c r="A10" s="2" t="inlineStr">
        <is>
          <t>Units:</t>
        </is>
      </c>
      <c r="B10" s="3" t="inlineStr">
        <is>
          <t>tCO2e = tonnes CO2-equivalent; AR6 GWPs: CH4=27.0 (non-fossil), N2O=273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4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>
      <c r="A1" s="1" t="inlineStr">
        <is>
          <t>Campus Population (Verified — Institutional ERP, FY 2025–26)</t>
        </is>
      </c>
    </row>
    <row r="3">
      <c r="A3" s="4" t="inlineStr">
        <is>
          <t>Institute</t>
        </is>
      </c>
      <c r="B3" s="4" t="inlineStr">
        <is>
          <t>Boys</t>
        </is>
      </c>
      <c r="C3" s="4" t="inlineStr">
        <is>
          <t>Girls</t>
        </is>
      </c>
      <c r="D3" s="4" t="inlineStr">
        <is>
          <t>Total Students</t>
        </is>
      </c>
      <c r="E3" s="4" t="inlineStr">
        <is>
          <t>Teaching Staff</t>
        </is>
      </c>
      <c r="F3" s="4" t="inlineStr">
        <is>
          <t>Non-Teaching Staff</t>
        </is>
      </c>
      <c r="G3" s="4" t="inlineStr">
        <is>
          <t>Total Staff</t>
        </is>
      </c>
      <c r="H3" s="4" t="inlineStr">
        <is>
          <t>Total Persons</t>
        </is>
      </c>
    </row>
    <row r="4">
      <c r="A4" s="5" t="inlineStr">
        <is>
          <t>Engineering</t>
        </is>
      </c>
      <c r="B4" s="5" t="n">
        <v>3551</v>
      </c>
      <c r="C4" s="5" t="n">
        <v>1996</v>
      </c>
      <c r="D4" s="5" t="n">
        <v>5547</v>
      </c>
      <c r="E4" s="5" t="n">
        <v>275</v>
      </c>
      <c r="F4" s="5" t="n">
        <v>266</v>
      </c>
      <c r="G4" s="5" t="n">
        <v>541</v>
      </c>
      <c r="H4" s="5" t="n">
        <v>6088</v>
      </c>
    </row>
    <row r="5">
      <c r="A5" s="5" t="inlineStr">
        <is>
          <t>Pharmacy</t>
        </is>
      </c>
      <c r="B5" s="5" t="n">
        <v>232</v>
      </c>
      <c r="C5" s="5" t="n">
        <v>431</v>
      </c>
      <c r="D5" s="5" t="n">
        <v>663</v>
      </c>
      <c r="E5" s="5" t="n">
        <v>38</v>
      </c>
      <c r="F5" s="5" t="n">
        <v>34</v>
      </c>
      <c r="G5" s="5" t="n">
        <v>72</v>
      </c>
      <c r="H5" s="5" t="n">
        <v>735</v>
      </c>
    </row>
    <row r="6">
      <c r="A6" s="5" t="inlineStr">
        <is>
          <t>Polytechnic</t>
        </is>
      </c>
      <c r="B6" s="5" t="n">
        <v>1244</v>
      </c>
      <c r="C6" s="5" t="n">
        <v>1179</v>
      </c>
      <c r="D6" s="5" t="n">
        <v>2423</v>
      </c>
      <c r="E6" s="5" t="n">
        <v>116</v>
      </c>
      <c r="F6" s="5" t="n">
        <v>94</v>
      </c>
      <c r="G6" s="5" t="n">
        <v>210</v>
      </c>
      <c r="H6" s="5" t="n">
        <v>2633</v>
      </c>
    </row>
    <row r="7">
      <c r="A7" s="6" t="inlineStr">
        <is>
          <t>TOTAL</t>
        </is>
      </c>
      <c r="B7" s="6" t="n">
        <v>5027</v>
      </c>
      <c r="C7" s="6" t="n">
        <v>3606</v>
      </c>
      <c r="D7" s="6" t="n">
        <v>8633</v>
      </c>
      <c r="E7" s="6" t="n">
        <v>429</v>
      </c>
      <c r="F7" s="6" t="n">
        <v>394</v>
      </c>
      <c r="G7" s="6" t="n">
        <v>823</v>
      </c>
      <c r="H7" s="6" t="n">
        <v>9456</v>
      </c>
    </row>
    <row r="9">
      <c r="A9" s="4" t="inlineStr">
        <is>
          <t>Category</t>
        </is>
      </c>
      <c r="B9" s="4" t="inlineStr">
        <is>
          <t>Population</t>
        </is>
      </c>
      <c r="C9" s="4" t="inlineStr">
        <is>
          <t>Share (%)</t>
        </is>
      </c>
    </row>
    <row r="10">
      <c r="A10" s="5" t="inlineStr">
        <is>
          <t>Students</t>
        </is>
      </c>
      <c r="B10" s="5" t="n">
        <v>8633</v>
      </c>
      <c r="C10" s="5" t="n">
        <v>91.3</v>
      </c>
    </row>
    <row r="11">
      <c r="A11" s="5" t="inlineStr">
        <is>
          <t>Teaching Staff</t>
        </is>
      </c>
      <c r="B11" s="5" t="n">
        <v>429</v>
      </c>
      <c r="C11" s="5" t="n">
        <v>4.5</v>
      </c>
    </row>
    <row r="12">
      <c r="A12" s="5" t="inlineStr">
        <is>
          <t>Non-Teaching Staff</t>
        </is>
      </c>
      <c r="B12" s="5" t="n">
        <v>394</v>
      </c>
      <c r="C12" s="5" t="n">
        <v>4.2</v>
      </c>
    </row>
    <row r="13">
      <c r="A13" s="6" t="inlineStr">
        <is>
          <t>TOTAL CAMPUS</t>
        </is>
      </c>
      <c r="B13" s="6" t="n">
        <v>9456</v>
      </c>
      <c r="C13" s="6" t="n">
        <v>100</v>
      </c>
    </row>
    <row r="15">
      <c r="A15" s="7" t="inlineStr">
        <is>
          <t>Source: Panchvati_Campus_Population_Profile.docx / Report Section 2.2. Students: 58.23% boys, 41.77% girls.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20" customWidth="1" min="5" max="5"/>
  </cols>
  <sheetData>
    <row r="1">
      <c r="A1" s="1" t="inlineStr">
        <is>
          <t>Purchased Grid Electricity — Monthly (Jan–Dec 2025) | Scope 2</t>
        </is>
      </c>
    </row>
    <row r="3">
      <c r="A3" s="4" t="inlineStr">
        <is>
          <t>Month</t>
        </is>
      </c>
      <c r="B3" s="4" t="inlineStr">
        <is>
          <t>Consumption (kWh)</t>
        </is>
      </c>
      <c r="C3" s="4" t="inlineStr">
        <is>
          <t>Grid EF (kgCO2/kWh)</t>
        </is>
      </c>
      <c r="D3" s="4" t="inlineStr">
        <is>
          <t>Emissions (kgCO2e)</t>
        </is>
      </c>
      <c r="E3" s="4" t="inlineStr">
        <is>
          <t>Emissions (tCO2e)</t>
        </is>
      </c>
    </row>
    <row r="4">
      <c r="A4" s="5" t="inlineStr">
        <is>
          <t>January 2025</t>
        </is>
      </c>
      <c r="B4" s="5" t="n">
        <v>85611</v>
      </c>
      <c r="C4" s="5" t="n">
        <v>0.71</v>
      </c>
      <c r="D4" s="5" t="n">
        <v>60783.81</v>
      </c>
      <c r="E4" s="5" t="n">
        <v>60.784</v>
      </c>
    </row>
    <row r="5">
      <c r="A5" s="5" t="inlineStr">
        <is>
          <t>February 2025</t>
        </is>
      </c>
      <c r="B5" s="5" t="n">
        <v>82814</v>
      </c>
      <c r="C5" s="5" t="n">
        <v>0.71</v>
      </c>
      <c r="D5" s="5" t="n">
        <v>58797.94</v>
      </c>
      <c r="E5" s="5" t="n">
        <v>58.798</v>
      </c>
    </row>
    <row r="6">
      <c r="A6" s="5" t="inlineStr">
        <is>
          <t>March 2025</t>
        </is>
      </c>
      <c r="B6" s="5" t="n">
        <v>102400</v>
      </c>
      <c r="C6" s="5" t="n">
        <v>0.71</v>
      </c>
      <c r="D6" s="5" t="n">
        <v>72704</v>
      </c>
      <c r="E6" s="5" t="n">
        <v>72.70399999999999</v>
      </c>
    </row>
    <row r="7">
      <c r="A7" s="5" t="inlineStr">
        <is>
          <t>April 2025</t>
        </is>
      </c>
      <c r="B7" s="5" t="n">
        <v>104759</v>
      </c>
      <c r="C7" s="5" t="n">
        <v>0.71</v>
      </c>
      <c r="D7" s="5" t="n">
        <v>74378.89</v>
      </c>
      <c r="E7" s="5" t="n">
        <v>74.379</v>
      </c>
    </row>
    <row r="8">
      <c r="A8" s="5" t="inlineStr">
        <is>
          <t>May 2025</t>
        </is>
      </c>
      <c r="B8" s="5" t="n">
        <v>94016</v>
      </c>
      <c r="C8" s="5" t="n">
        <v>0.71</v>
      </c>
      <c r="D8" s="5" t="n">
        <v>66751.36</v>
      </c>
      <c r="E8" s="5" t="n">
        <v>66.751</v>
      </c>
    </row>
    <row r="9">
      <c r="A9" s="5" t="inlineStr">
        <is>
          <t>June 2025</t>
        </is>
      </c>
      <c r="B9" s="5" t="n">
        <v>74496</v>
      </c>
      <c r="C9" s="5" t="n">
        <v>0.71</v>
      </c>
      <c r="D9" s="5" t="n">
        <v>52892.16</v>
      </c>
      <c r="E9" s="5" t="n">
        <v>52.892</v>
      </c>
    </row>
    <row r="10">
      <c r="A10" s="5" t="inlineStr">
        <is>
          <t>July 2025</t>
        </is>
      </c>
      <c r="B10" s="5" t="n">
        <v>87258</v>
      </c>
      <c r="C10" s="5" t="n">
        <v>0.71</v>
      </c>
      <c r="D10" s="5" t="n">
        <v>61953.18</v>
      </c>
      <c r="E10" s="5" t="n">
        <v>61.953</v>
      </c>
    </row>
    <row r="11">
      <c r="A11" s="5" t="inlineStr">
        <is>
          <t>August 2025</t>
        </is>
      </c>
      <c r="B11" s="5" t="n">
        <v>89306</v>
      </c>
      <c r="C11" s="5" t="n">
        <v>0.71</v>
      </c>
      <c r="D11" s="5" t="n">
        <v>63407.26</v>
      </c>
      <c r="E11" s="5" t="n">
        <v>63.407</v>
      </c>
    </row>
    <row r="12">
      <c r="A12" s="5" t="inlineStr">
        <is>
          <t>September 2025</t>
        </is>
      </c>
      <c r="B12" s="5" t="n">
        <v>95050</v>
      </c>
      <c r="C12" s="5" t="n">
        <v>0.71</v>
      </c>
      <c r="D12" s="5" t="n">
        <v>67485.5</v>
      </c>
      <c r="E12" s="5" t="n">
        <v>67.486</v>
      </c>
    </row>
    <row r="13">
      <c r="A13" s="5" t="inlineStr">
        <is>
          <t>October 2025</t>
        </is>
      </c>
      <c r="B13" s="5" t="n">
        <v>87074</v>
      </c>
      <c r="C13" s="5" t="n">
        <v>0.71</v>
      </c>
      <c r="D13" s="5" t="n">
        <v>61822.54</v>
      </c>
      <c r="E13" s="5" t="n">
        <v>61.823</v>
      </c>
    </row>
    <row r="14">
      <c r="A14" s="5" t="inlineStr">
        <is>
          <t>November 2025</t>
        </is>
      </c>
      <c r="B14" s="5" t="n">
        <v>80577</v>
      </c>
      <c r="C14" s="5" t="n">
        <v>0.71</v>
      </c>
      <c r="D14" s="5" t="n">
        <v>57209.67</v>
      </c>
      <c r="E14" s="5" t="n">
        <v>57.21</v>
      </c>
    </row>
    <row r="15">
      <c r="A15" s="5" t="inlineStr">
        <is>
          <t>December 2025</t>
        </is>
      </c>
      <c r="B15" s="5" t="n">
        <v>75786</v>
      </c>
      <c r="C15" s="5" t="n">
        <v>0.71</v>
      </c>
      <c r="D15" s="5" t="n">
        <v>53808.06</v>
      </c>
      <c r="E15" s="5" t="n">
        <v>53.808</v>
      </c>
    </row>
    <row r="16">
      <c r="A16" s="6" t="inlineStr">
        <is>
          <t>ANNUAL TOTAL</t>
        </is>
      </c>
      <c r="B16" s="6" t="n">
        <v>1059147</v>
      </c>
      <c r="C16" s="6" t="inlineStr"/>
      <c r="D16" s="6" t="n">
        <v>751994.37</v>
      </c>
      <c r="E16" s="6" t="n">
        <v>751.994</v>
      </c>
    </row>
    <row r="18">
      <c r="A18" s="7" t="inlineStr">
        <is>
          <t>Source: Energy docx Table 1 / energy PDF / master xlsx. EF: CEA CO2 Baseline Database V21.0 (Nov 2025). Avg month 88,262 kWh; max Apr 2025; min Jun 2025.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0" customWidth="1" min="4" max="4"/>
    <col width="18" customWidth="1" min="5" max="5"/>
    <col width="22" customWidth="1" min="6" max="6"/>
    <col width="22" customWidth="1" min="7" max="7"/>
  </cols>
  <sheetData>
    <row r="1">
      <c r="A1" s="1" t="inlineStr">
        <is>
          <t>Diesel Generator (320 kVA) — Monthly (Jan–Dec 2025) | Scope 1</t>
        </is>
      </c>
    </row>
    <row r="3">
      <c r="A3" s="4" t="inlineStr">
        <is>
          <t>Month</t>
        </is>
      </c>
      <c r="B3" s="4" t="inlineStr">
        <is>
          <t>Diesel (L)</t>
        </is>
      </c>
      <c r="C3" s="4" t="inlineStr">
        <is>
          <t>EF (kgCO2/L) — REPORT/CEA</t>
        </is>
      </c>
      <c r="D3" s="4" t="inlineStr">
        <is>
          <t>Emissions (kgCO2e)</t>
        </is>
      </c>
      <c r="E3" s="4" t="inlineStr">
        <is>
          <t>Emissions (tCO2e)</t>
        </is>
      </c>
      <c r="F3" s="4" t="inlineStr">
        <is>
          <t>Old EF 2.68 (kgCO2/L)</t>
        </is>
      </c>
      <c r="G3" s="4" t="inlineStr">
        <is>
          <t>Old sheet emissions (kg)</t>
        </is>
      </c>
    </row>
    <row r="4">
      <c r="A4" s="5" t="inlineStr">
        <is>
          <t>January 2025</t>
        </is>
      </c>
      <c r="B4" s="5" t="n">
        <v>70</v>
      </c>
      <c r="C4" s="5" t="n">
        <v>2.89</v>
      </c>
      <c r="D4" s="5" t="n">
        <v>202.3</v>
      </c>
      <c r="E4" s="5" t="n">
        <v>0.202</v>
      </c>
      <c r="F4" s="5" t="n">
        <v>2.68</v>
      </c>
      <c r="G4" s="5" t="n">
        <v>187.6</v>
      </c>
    </row>
    <row r="5">
      <c r="A5" s="5" t="inlineStr">
        <is>
          <t>February 2025</t>
        </is>
      </c>
      <c r="B5" s="5" t="n">
        <v>105</v>
      </c>
      <c r="C5" s="5" t="n">
        <v>2.89</v>
      </c>
      <c r="D5" s="5" t="n">
        <v>303.45</v>
      </c>
      <c r="E5" s="5" t="n">
        <v>0.303</v>
      </c>
      <c r="F5" s="5" t="n">
        <v>2.68</v>
      </c>
      <c r="G5" s="5" t="n">
        <v>281.4</v>
      </c>
    </row>
    <row r="6">
      <c r="A6" s="5" t="inlineStr">
        <is>
          <t>March 2025</t>
        </is>
      </c>
      <c r="B6" s="5" t="n">
        <v>185</v>
      </c>
      <c r="C6" s="5" t="n">
        <v>2.89</v>
      </c>
      <c r="D6" s="5" t="n">
        <v>534.65</v>
      </c>
      <c r="E6" s="5" t="n">
        <v>0.535</v>
      </c>
      <c r="F6" s="5" t="n">
        <v>2.68</v>
      </c>
      <c r="G6" s="5" t="n">
        <v>495.8</v>
      </c>
    </row>
    <row r="7">
      <c r="A7" s="5" t="inlineStr">
        <is>
          <t>April 2025</t>
        </is>
      </c>
      <c r="B7" s="5" t="n">
        <v>385</v>
      </c>
      <c r="C7" s="5" t="n">
        <v>2.89</v>
      </c>
      <c r="D7" s="5" t="n">
        <v>1112.65</v>
      </c>
      <c r="E7" s="5" t="n">
        <v>1.113</v>
      </c>
      <c r="F7" s="5" t="n">
        <v>2.68</v>
      </c>
      <c r="G7" s="5" t="n">
        <v>1031.8</v>
      </c>
    </row>
    <row r="8">
      <c r="A8" s="5" t="inlineStr">
        <is>
          <t>May 2025</t>
        </is>
      </c>
      <c r="B8" s="5" t="n">
        <v>980</v>
      </c>
      <c r="C8" s="5" t="n">
        <v>2.89</v>
      </c>
      <c r="D8" s="5" t="n">
        <v>2832.2</v>
      </c>
      <c r="E8" s="5" t="n">
        <v>2.832</v>
      </c>
      <c r="F8" s="5" t="n">
        <v>2.68</v>
      </c>
      <c r="G8" s="5" t="n">
        <v>2626.4</v>
      </c>
    </row>
    <row r="9">
      <c r="A9" s="5" t="inlineStr">
        <is>
          <t>June 2025</t>
        </is>
      </c>
      <c r="B9" s="5" t="n">
        <v>595</v>
      </c>
      <c r="C9" s="5" t="n">
        <v>2.89</v>
      </c>
      <c r="D9" s="5" t="n">
        <v>1719.55</v>
      </c>
      <c r="E9" s="5" t="n">
        <v>1.72</v>
      </c>
      <c r="F9" s="5" t="n">
        <v>2.68</v>
      </c>
      <c r="G9" s="5" t="n">
        <v>1594.6</v>
      </c>
    </row>
    <row r="10">
      <c r="A10" s="5" t="inlineStr">
        <is>
          <t>July 2025</t>
        </is>
      </c>
      <c r="B10" s="5" t="n">
        <v>490</v>
      </c>
      <c r="C10" s="5" t="n">
        <v>2.89</v>
      </c>
      <c r="D10" s="5" t="n">
        <v>1416.1</v>
      </c>
      <c r="E10" s="5" t="n">
        <v>1.416</v>
      </c>
      <c r="F10" s="5" t="n">
        <v>2.68</v>
      </c>
      <c r="G10" s="5" t="n">
        <v>1313.2</v>
      </c>
    </row>
    <row r="11">
      <c r="A11" s="5" t="inlineStr">
        <is>
          <t>August 2025</t>
        </is>
      </c>
      <c r="B11" s="5" t="n">
        <v>140</v>
      </c>
      <c r="C11" s="5" t="n">
        <v>2.89</v>
      </c>
      <c r="D11" s="5" t="n">
        <v>404.6</v>
      </c>
      <c r="E11" s="5" t="n">
        <v>0.405</v>
      </c>
      <c r="F11" s="5" t="n">
        <v>2.68</v>
      </c>
      <c r="G11" s="5" t="n">
        <v>375.2</v>
      </c>
    </row>
    <row r="12">
      <c r="A12" s="5" t="inlineStr">
        <is>
          <t>September 2025</t>
        </is>
      </c>
      <c r="B12" s="5" t="n">
        <v>280</v>
      </c>
      <c r="C12" s="5" t="n">
        <v>2.89</v>
      </c>
      <c r="D12" s="5" t="n">
        <v>809.2</v>
      </c>
      <c r="E12" s="5" t="n">
        <v>0.8090000000000001</v>
      </c>
      <c r="F12" s="5" t="n">
        <v>2.68</v>
      </c>
      <c r="G12" s="5" t="n">
        <v>750.4</v>
      </c>
    </row>
    <row r="13">
      <c r="A13" s="5" t="inlineStr">
        <is>
          <t>October 2025</t>
        </is>
      </c>
      <c r="B13" s="5" t="n">
        <v>336</v>
      </c>
      <c r="C13" s="5" t="n">
        <v>2.89</v>
      </c>
      <c r="D13" s="5" t="n">
        <v>971.04</v>
      </c>
      <c r="E13" s="5" t="n">
        <v>0.971</v>
      </c>
      <c r="F13" s="5" t="n">
        <v>2.68</v>
      </c>
      <c r="G13" s="5" t="n">
        <v>900.48</v>
      </c>
    </row>
    <row r="14">
      <c r="A14" s="5" t="inlineStr">
        <is>
          <t>November 2025</t>
        </is>
      </c>
      <c r="B14" s="5" t="n">
        <v>240</v>
      </c>
      <c r="C14" s="5" t="n">
        <v>2.89</v>
      </c>
      <c r="D14" s="5" t="n">
        <v>693.6</v>
      </c>
      <c r="E14" s="5" t="n">
        <v>0.694</v>
      </c>
      <c r="F14" s="5" t="n">
        <v>2.68</v>
      </c>
      <c r="G14" s="5" t="n">
        <v>643.2</v>
      </c>
    </row>
    <row r="15">
      <c r="A15" s="5" t="inlineStr">
        <is>
          <t>December 2025</t>
        </is>
      </c>
      <c r="B15" s="5" t="n">
        <v>294</v>
      </c>
      <c r="C15" s="5" t="n">
        <v>2.89</v>
      </c>
      <c r="D15" s="5" t="n">
        <v>849.66</v>
      </c>
      <c r="E15" s="5" t="n">
        <v>0.85</v>
      </c>
      <c r="F15" s="5" t="n">
        <v>2.68</v>
      </c>
      <c r="G15" s="5" t="n">
        <v>787.92</v>
      </c>
    </row>
    <row r="16">
      <c r="A16" s="6" t="inlineStr">
        <is>
          <t>ANNUAL TOTAL</t>
        </is>
      </c>
      <c r="B16" s="6" t="n">
        <v>4100</v>
      </c>
      <c r="C16" s="6" t="inlineStr"/>
      <c r="D16" s="6" t="n">
        <v>11849</v>
      </c>
      <c r="E16" s="6" t="n">
        <v>11.849</v>
      </c>
      <c r="F16" s="6" t="inlineStr"/>
      <c r="G16" s="6" t="n">
        <v>10988</v>
      </c>
    </row>
    <row r="18">
      <c r="A18" s="7" t="inlineStr">
        <is>
          <t>REPORT VALUE = 2.89 kgCO2/L (CEA V20.0 App-B, liquid fuel oil) -&gt; 11.85 tCO2e. Old master xlsx used 2.68 -&gt; 10.99 t; corrected. 4,100 L = entirety of DG operation. Max May (980 L), min Jan (70 L).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3" customWidth="1" min="3" max="3"/>
    <col width="13" customWidth="1" min="4" max="4"/>
    <col width="11" customWidth="1" min="5" max="5"/>
    <col width="9" customWidth="1" min="6" max="6"/>
    <col width="18" customWidth="1" min="7" max="7"/>
    <col width="18" customWidth="1" min="8" max="8"/>
    <col width="18" customWidth="1" min="9" max="9"/>
    <col width="20" customWidth="1" min="10" max="10"/>
    <col width="16" customWidth="1" min="11" max="11"/>
  </cols>
  <sheetData>
    <row r="1">
      <c r="A1" s="1" t="inlineStr">
        <is>
          <t>Air-Conditioner Inventory &amp; Energy End-Use (subset of purchased electricity — NOT additive)</t>
        </is>
      </c>
    </row>
    <row r="3">
      <c r="A3" s="4" t="inlineStr">
        <is>
          <t>Location</t>
        </is>
      </c>
      <c r="B3" s="4" t="inlineStr">
        <is>
          <t>No. of ACs</t>
        </is>
      </c>
      <c r="C3" s="4" t="inlineStr">
        <is>
          <t>Capacity (Ton)</t>
        </is>
      </c>
      <c r="D3" s="4" t="inlineStr">
        <is>
          <t>Power/AC (kW)</t>
        </is>
      </c>
      <c r="E3" s="4" t="inlineStr">
        <is>
          <t>Op. Days/yr</t>
        </is>
      </c>
      <c r="F3" s="4" t="inlineStr">
        <is>
          <t>Daily Hrs</t>
        </is>
      </c>
      <c r="G3" s="4" t="inlineStr">
        <is>
          <t>Connected Load (kW)</t>
        </is>
      </c>
      <c r="H3" s="4" t="inlineStr">
        <is>
          <t>Annual Energy (kWh)</t>
        </is>
      </c>
      <c r="I3" s="4" t="inlineStr">
        <is>
          <t>EF (kgCO2/kWh)</t>
        </is>
      </c>
      <c r="J3" s="4" t="inlineStr">
        <is>
          <t>Emissions (kgCO2e)</t>
        </is>
      </c>
      <c r="K3" s="4" t="inlineStr">
        <is>
          <t>Emissions (tCO2e)</t>
        </is>
      </c>
    </row>
    <row r="4">
      <c r="A4" s="5" t="inlineStr">
        <is>
          <t>Engineering Building</t>
        </is>
      </c>
      <c r="B4" s="5" t="n">
        <v>12</v>
      </c>
      <c r="C4" s="5" t="inlineStr">
        <is>
          <t>1.5 ton</t>
        </is>
      </c>
      <c r="D4" s="5" t="n">
        <v>5.27</v>
      </c>
      <c r="E4" s="5" t="n">
        <v>290</v>
      </c>
      <c r="F4" s="5" t="n">
        <v>9</v>
      </c>
      <c r="G4" s="5" t="n">
        <v>63.24</v>
      </c>
      <c r="H4" s="5" t="n">
        <v>165056.4</v>
      </c>
      <c r="I4" s="5" t="n">
        <v>0.71</v>
      </c>
      <c r="J4" s="5" t="n">
        <v>117190.04</v>
      </c>
      <c r="K4" s="5" t="n">
        <v>117.19</v>
      </c>
    </row>
    <row r="5">
      <c r="A5" s="5" t="inlineStr">
        <is>
          <t>Central Office</t>
        </is>
      </c>
      <c r="B5" s="5" t="n">
        <v>17</v>
      </c>
      <c r="C5" s="5" t="inlineStr">
        <is>
          <t>1.5 ton</t>
        </is>
      </c>
      <c r="D5" s="5" t="n">
        <v>5.27</v>
      </c>
      <c r="E5" s="5" t="n">
        <v>290</v>
      </c>
      <c r="F5" s="5" t="n">
        <v>9</v>
      </c>
      <c r="G5" s="5" t="n">
        <v>89.59</v>
      </c>
      <c r="H5" s="5" t="n">
        <v>233829.9</v>
      </c>
      <c r="I5" s="5" t="n">
        <v>0.71</v>
      </c>
      <c r="J5" s="5" t="n">
        <v>166019.23</v>
      </c>
      <c r="K5" s="5" t="n">
        <v>166.019</v>
      </c>
    </row>
    <row r="6">
      <c r="A6" s="5" t="inlineStr">
        <is>
          <t>Guest House</t>
        </is>
      </c>
      <c r="B6" s="5" t="n">
        <v>20</v>
      </c>
      <c r="C6" s="5" t="inlineStr">
        <is>
          <t>1 ton</t>
        </is>
      </c>
      <c r="D6" s="5" t="n">
        <v>3.5</v>
      </c>
      <c r="E6" s="5" t="n">
        <v>290</v>
      </c>
      <c r="F6" s="5" t="n">
        <v>12</v>
      </c>
      <c r="G6" s="5" t="n">
        <v>70</v>
      </c>
      <c r="H6" s="5" t="n">
        <v>243600</v>
      </c>
      <c r="I6" s="5" t="n">
        <v>0.71</v>
      </c>
      <c r="J6" s="5" t="n">
        <v>172956</v>
      </c>
      <c r="K6" s="5" t="n">
        <v>172.956</v>
      </c>
    </row>
    <row r="7">
      <c r="A7" s="5" t="inlineStr">
        <is>
          <t>Principal Office</t>
        </is>
      </c>
      <c r="B7" s="5" t="n">
        <v>6</v>
      </c>
      <c r="C7" s="5" t="inlineStr">
        <is>
          <t>1 ton</t>
        </is>
      </c>
      <c r="D7" s="5" t="n">
        <v>3.5</v>
      </c>
      <c r="E7" s="5" t="n">
        <v>290</v>
      </c>
      <c r="F7" s="5" t="n">
        <v>9</v>
      </c>
      <c r="G7" s="5" t="n">
        <v>21</v>
      </c>
      <c r="H7" s="5" t="n">
        <v>54810</v>
      </c>
      <c r="I7" s="5" t="n">
        <v>0.71</v>
      </c>
      <c r="J7" s="5" t="n">
        <v>38915.1</v>
      </c>
      <c r="K7" s="5" t="n">
        <v>38.915</v>
      </c>
    </row>
    <row r="8">
      <c r="A8" s="6" t="inlineStr">
        <is>
          <t>TOTAL</t>
        </is>
      </c>
      <c r="B8" s="6" t="n">
        <v>55</v>
      </c>
      <c r="C8" s="6" t="inlineStr"/>
      <c r="D8" s="6" t="inlineStr"/>
      <c r="E8" s="6" t="inlineStr"/>
      <c r="F8" s="6" t="inlineStr"/>
      <c r="G8" s="6" t="n">
        <v>243.83</v>
      </c>
      <c r="H8" s="6" t="n">
        <v>697296.3</v>
      </c>
      <c r="I8" s="6" t="inlineStr"/>
      <c r="J8" s="6" t="n">
        <v>495080.37</v>
      </c>
      <c r="K8" s="6" t="n">
        <v>495.08</v>
      </c>
    </row>
    <row r="10">
      <c r="A10" s="7" t="inlineStr">
        <is>
          <t>AC load = 65.8% of purchased electricity; contained within Sheet 2 total. Refrigerant: R32 (GWP 771, IPCC AR6), vendor-verified.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12" customWidth="1" min="4" max="4"/>
    <col width="12" customWidth="1" min="5" max="5"/>
    <col width="26" customWidth="1" min="6" max="6"/>
    <col width="34" customWidth="1" min="7" max="7"/>
  </cols>
  <sheetData>
    <row r="1">
      <c r="A1" s="1" t="inlineStr">
        <is>
          <t>Refrigerant (R32) — DATA GAP (excluded from footprint)</t>
        </is>
      </c>
    </row>
    <row r="3">
      <c r="A3" s="4" t="inlineStr">
        <is>
          <t>Location</t>
        </is>
      </c>
      <c r="B3" s="4" t="inlineStr">
        <is>
          <t>Equipment Brand</t>
        </is>
      </c>
      <c r="C3" s="4" t="inlineStr">
        <is>
          <t>Reported 'Quantity'</t>
        </is>
      </c>
      <c r="D3" s="4" t="inlineStr">
        <is>
          <t>Refrigerant</t>
        </is>
      </c>
      <c r="E3" s="4" t="inlineStr">
        <is>
          <t>GWP (AR6)</t>
        </is>
      </c>
      <c r="F3" s="4" t="inlineStr">
        <is>
          <t>Emissions in old sheet (kgCO2e)</t>
        </is>
      </c>
      <c r="G3" s="4" t="inlineStr">
        <is>
          <t>Validity</t>
        </is>
      </c>
    </row>
    <row r="4">
      <c r="A4" s="5" t="inlineStr">
        <is>
          <t>Game house (1 unit)</t>
        </is>
      </c>
      <c r="B4" s="5" t="inlineStr">
        <is>
          <t>Samsung</t>
        </is>
      </c>
      <c r="C4" s="5" t="inlineStr">
        <is>
          <t>500 L (equipment capacity)</t>
        </is>
      </c>
      <c r="D4" s="5" t="inlineStr">
        <is>
          <t>R32</t>
        </is>
      </c>
      <c r="E4" s="5" t="n">
        <v>771</v>
      </c>
      <c r="F4" s="5" t="n">
        <v>385500</v>
      </c>
      <c r="G4" s="5" t="inlineStr">
        <is>
          <t>INVALID — litres ≠ refrigerant kg</t>
        </is>
      </c>
    </row>
    <row r="5">
      <c r="A5" s="5" t="inlineStr">
        <is>
          <t>Boys mess &amp; hostel (2 units)</t>
        </is>
      </c>
      <c r="B5" s="5" t="inlineStr">
        <is>
          <t>Samsung</t>
        </is>
      </c>
      <c r="C5" s="5" t="inlineStr">
        <is>
          <t>500 L (equipment capacity)</t>
        </is>
      </c>
      <c r="D5" s="5" t="inlineStr">
        <is>
          <t>R32</t>
        </is>
      </c>
      <c r="E5" s="5" t="n">
        <v>771</v>
      </c>
      <c r="F5" s="5" t="n">
        <v>385500</v>
      </c>
      <c r="G5" s="5" t="inlineStr">
        <is>
          <t>INVALID</t>
        </is>
      </c>
    </row>
    <row r="6">
      <c r="A6" s="5" t="inlineStr">
        <is>
          <t>Central office (1 unit)</t>
        </is>
      </c>
      <c r="B6" s="5" t="inlineStr">
        <is>
          <t>Samsung</t>
        </is>
      </c>
      <c r="C6" s="5" t="inlineStr">
        <is>
          <t>500 L (equipment capacity)</t>
        </is>
      </c>
      <c r="D6" s="5" t="inlineStr">
        <is>
          <t>R32</t>
        </is>
      </c>
      <c r="E6" s="5" t="n">
        <v>771</v>
      </c>
      <c r="F6" s="5" t="n">
        <v>385500</v>
      </c>
      <c r="G6" s="5" t="inlineStr">
        <is>
          <t>INVALID</t>
        </is>
      </c>
    </row>
    <row r="7">
      <c r="A7" s="5" t="inlineStr">
        <is>
          <t>Engineering office (2 units)</t>
        </is>
      </c>
      <c r="B7" s="5" t="inlineStr">
        <is>
          <t>LG</t>
        </is>
      </c>
      <c r="C7" s="5" t="inlineStr">
        <is>
          <t>165 L (equipment capacity)</t>
        </is>
      </c>
      <c r="D7" s="5" t="inlineStr">
        <is>
          <t>R32</t>
        </is>
      </c>
      <c r="E7" s="5" t="n">
        <v>771</v>
      </c>
      <c r="F7" s="5" t="n">
        <v>127215</v>
      </c>
      <c r="G7" s="5" t="inlineStr">
        <is>
          <t>INVALID</t>
        </is>
      </c>
    </row>
    <row r="8">
      <c r="A8" s="5" t="inlineStr">
        <is>
          <t>Old sheet total</t>
        </is>
      </c>
      <c r="B8" s="5" t="inlineStr"/>
      <c r="C8" s="5" t="inlineStr"/>
      <c r="D8" s="5" t="inlineStr"/>
      <c r="E8" s="5" t="inlineStr"/>
      <c r="F8" s="5" t="n">
        <v>1283715</v>
      </c>
      <c r="G8" s="5" t="inlineStr">
        <is>
          <t>NOT USED in report</t>
        </is>
      </c>
    </row>
    <row r="10">
      <c r="A10" s="7" t="inlineStr">
        <is>
          <t>Old sheet multiplied litre capacities by GWP 771 = 1,283,715 kgCO2e. Report (Sec 1.6) rules this out: equipment storage capacity is not refrigerant charge mass. Actual annual recharge/leakage kg unmeasured -&gt; Scope 1 fugitive emissions EXCLUDED pending measurement.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8" customWidth="1" min="5" max="5"/>
  </cols>
  <sheetData>
    <row r="1">
      <c r="A1" s="1" t="inlineStr">
        <is>
          <t>Rooftop Solar Generation &amp; Avoided Emissions (Mar 2025 – Feb 2026) — reported separately, not netted</t>
        </is>
      </c>
    </row>
    <row r="3">
      <c r="A3" s="4" t="inlineStr">
        <is>
          <t>Month</t>
        </is>
      </c>
      <c r="B3" s="4" t="inlineStr">
        <is>
          <t>Solar Generation (kWh)</t>
        </is>
      </c>
      <c r="C3" s="4" t="inlineStr">
        <is>
          <t>EF (kgCO2/kWh)</t>
        </is>
      </c>
      <c r="D3" s="4" t="inlineStr">
        <is>
          <t>Avoided (kgCO2e)</t>
        </is>
      </c>
      <c r="E3" s="4" t="inlineStr">
        <is>
          <t>Avoided (tCO2e)</t>
        </is>
      </c>
    </row>
    <row r="4">
      <c r="A4" s="5" t="inlineStr">
        <is>
          <t>March 2025</t>
        </is>
      </c>
      <c r="B4" s="5" t="n">
        <v>1740</v>
      </c>
      <c r="C4" s="5" t="n">
        <v>0.71</v>
      </c>
      <c r="D4" s="5" t="n">
        <v>1235.4</v>
      </c>
      <c r="E4" s="5" t="n">
        <v>1.235</v>
      </c>
    </row>
    <row r="5">
      <c r="A5" s="5" t="inlineStr">
        <is>
          <t>April 2025</t>
        </is>
      </c>
      <c r="B5" s="5" t="n">
        <v>1736</v>
      </c>
      <c r="C5" s="5" t="n">
        <v>0.71</v>
      </c>
      <c r="D5" s="5" t="n">
        <v>1232.56</v>
      </c>
      <c r="E5" s="5" t="n">
        <v>1.233</v>
      </c>
    </row>
    <row r="6">
      <c r="A6" s="5" t="inlineStr">
        <is>
          <t>May 2025</t>
        </is>
      </c>
      <c r="B6" s="5" t="n">
        <v>2201</v>
      </c>
      <c r="C6" s="5" t="n">
        <v>0.71</v>
      </c>
      <c r="D6" s="5" t="n">
        <v>1562.71</v>
      </c>
      <c r="E6" s="5" t="n">
        <v>1.563</v>
      </c>
    </row>
    <row r="7">
      <c r="A7" s="5" t="inlineStr">
        <is>
          <t>June 2025</t>
        </is>
      </c>
      <c r="B7" s="5" t="n">
        <v>2232</v>
      </c>
      <c r="C7" s="5" t="n">
        <v>0.71</v>
      </c>
      <c r="D7" s="5" t="n">
        <v>1584.72</v>
      </c>
      <c r="E7" s="5" t="n">
        <v>1.585</v>
      </c>
    </row>
    <row r="8">
      <c r="A8" s="5" t="inlineStr">
        <is>
          <t>July 2025</t>
        </is>
      </c>
      <c r="B8" s="5" t="n">
        <v>2139</v>
      </c>
      <c r="C8" s="5" t="n">
        <v>0.71</v>
      </c>
      <c r="D8" s="5" t="n">
        <v>1518.69</v>
      </c>
      <c r="E8" s="5" t="n">
        <v>1.519</v>
      </c>
    </row>
    <row r="9">
      <c r="A9" s="5" t="inlineStr">
        <is>
          <t>August 2025</t>
        </is>
      </c>
      <c r="B9" s="5" t="n">
        <v>1770</v>
      </c>
      <c r="C9" s="5" t="n">
        <v>0.71</v>
      </c>
      <c r="D9" s="5" t="n">
        <v>1256.7</v>
      </c>
      <c r="E9" s="5" t="n">
        <v>1.257</v>
      </c>
    </row>
    <row r="10">
      <c r="A10" s="5" t="inlineStr">
        <is>
          <t>September 2025</t>
        </is>
      </c>
      <c r="B10" s="5" t="n">
        <v>1612</v>
      </c>
      <c r="C10" s="5" t="n">
        <v>0.71</v>
      </c>
      <c r="D10" s="5" t="n">
        <v>1144.52</v>
      </c>
      <c r="E10" s="5" t="n">
        <v>1.145</v>
      </c>
    </row>
    <row r="11">
      <c r="A11" s="5" t="inlineStr">
        <is>
          <t>October 2025</t>
        </is>
      </c>
      <c r="B11" s="5" t="n">
        <v>1579</v>
      </c>
      <c r="C11" s="5" t="n">
        <v>0.71</v>
      </c>
      <c r="D11" s="5" t="n">
        <v>1121.09</v>
      </c>
      <c r="E11" s="5" t="n">
        <v>1.121</v>
      </c>
    </row>
    <row r="12">
      <c r="A12" s="5" t="inlineStr">
        <is>
          <t>November 2025</t>
        </is>
      </c>
      <c r="B12" s="5" t="n">
        <v>1680</v>
      </c>
      <c r="C12" s="5" t="n">
        <v>0.71</v>
      </c>
      <c r="D12" s="5" t="n">
        <v>1192.8</v>
      </c>
      <c r="E12" s="5" t="n">
        <v>1.193</v>
      </c>
    </row>
    <row r="13">
      <c r="A13" s="5" t="inlineStr">
        <is>
          <t>December 2025</t>
        </is>
      </c>
      <c r="B13" s="5" t="n">
        <v>1705</v>
      </c>
      <c r="C13" s="5" t="n">
        <v>0.71</v>
      </c>
      <c r="D13" s="5" t="n">
        <v>1210.55</v>
      </c>
      <c r="E13" s="5" t="n">
        <v>1.211</v>
      </c>
    </row>
    <row r="14">
      <c r="A14" s="5" t="inlineStr">
        <is>
          <t>January 2026</t>
        </is>
      </c>
      <c r="B14" s="5" t="n">
        <v>1590</v>
      </c>
      <c r="C14" s="5" t="n">
        <v>0.71</v>
      </c>
      <c r="D14" s="5" t="n">
        <v>1128.9</v>
      </c>
      <c r="E14" s="5" t="n">
        <v>1.129</v>
      </c>
    </row>
    <row r="15">
      <c r="A15" s="5" t="inlineStr">
        <is>
          <t>February 2026</t>
        </is>
      </c>
      <c r="B15" s="5" t="n">
        <v>1736</v>
      </c>
      <c r="C15" s="5" t="n">
        <v>0.71</v>
      </c>
      <c r="D15" s="5" t="n">
        <v>1232.56</v>
      </c>
      <c r="E15" s="5" t="n">
        <v>1.233</v>
      </c>
    </row>
    <row r="16">
      <c r="A16" s="6" t="inlineStr">
        <is>
          <t>ANNUAL TOTAL</t>
        </is>
      </c>
      <c r="B16" s="6" t="n">
        <v>21720</v>
      </c>
      <c r="C16" s="6" t="inlineStr"/>
      <c r="D16" s="6" t="n">
        <v>15421.2</v>
      </c>
      <c r="E16" s="6" t="n">
        <v>15.421</v>
      </c>
    </row>
    <row r="18">
      <c r="A18" s="7" t="inlineStr">
        <is>
          <t>Self-consumed on campus. = 2.1% of purchased electricity. Max May 2025 (2,201 kWh), min Oct 2025 (1,579 kWh).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44" customWidth="1" min="4" max="4"/>
  </cols>
  <sheetData>
    <row r="1">
      <c r="A1" s="1" t="inlineStr">
        <is>
          <t>College Bus Fleet — Scope 1 Direct Emissions (AY 2025–26)</t>
        </is>
      </c>
    </row>
    <row r="3">
      <c r="A3" s="4" t="inlineStr">
        <is>
          <t>Parameter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Source</t>
        </is>
      </c>
    </row>
    <row r="4">
      <c r="A4" s="5" t="inlineStr">
        <is>
          <t>Operational buses</t>
        </is>
      </c>
      <c r="B4" s="5" t="n">
        <v>7</v>
      </c>
      <c r="C4" s="5" t="inlineStr">
        <is>
          <t>buses</t>
        </is>
      </c>
      <c r="D4" s="5" t="inlineStr">
        <is>
          <t>Transport team records (8 owned, 7 working)</t>
        </is>
      </c>
    </row>
    <row r="5">
      <c r="A5" s="5" t="inlineStr">
        <is>
          <t>Distance per bus per day</t>
        </is>
      </c>
      <c r="B5" s="5" t="n">
        <v>125</v>
      </c>
      <c r="C5" s="5" t="inlineStr">
        <is>
          <t>km/day</t>
        </is>
      </c>
      <c r="D5" s="5" t="inlineStr">
        <is>
          <t>Odometer data</t>
        </is>
      </c>
    </row>
    <row r="6">
      <c r="A6" s="5" t="inlineStr">
        <is>
          <t>Operating days per year</t>
        </is>
      </c>
      <c r="B6" s="5" t="n">
        <v>320</v>
      </c>
      <c r="C6" s="5" t="inlineStr">
        <is>
          <t>days/yr</t>
        </is>
      </c>
      <c r="D6" s="5" t="inlineStr">
        <is>
          <t>Academic calendar</t>
        </is>
      </c>
    </row>
    <row r="7">
      <c r="A7" s="5" t="inlineStr">
        <is>
          <t>Annual fleet distance</t>
        </is>
      </c>
      <c r="B7" s="5" t="n">
        <v>280000</v>
      </c>
      <c r="C7" s="5" t="inlineStr">
        <is>
          <t>km/yr</t>
        </is>
      </c>
      <c r="D7" s="5" t="inlineStr">
        <is>
          <t>Calculated: 7×125×320</t>
        </is>
      </c>
    </row>
    <row r="8">
      <c r="A8" s="5" t="inlineStr">
        <is>
          <t>Diesel consumption per bus</t>
        </is>
      </c>
      <c r="B8" s="5" t="n">
        <v>25</v>
      </c>
      <c r="C8" s="5" t="inlineStr">
        <is>
          <t>L/day</t>
        </is>
      </c>
      <c r="D8" s="5" t="inlineStr">
        <is>
          <t>Fuel ledger</t>
        </is>
      </c>
    </row>
    <row r="9">
      <c r="A9" s="5" t="inlineStr">
        <is>
          <t>Annual diesel consumption</t>
        </is>
      </c>
      <c r="B9" s="5" t="n">
        <v>56000</v>
      </c>
      <c r="C9" s="5" t="inlineStr">
        <is>
          <t>L/yr</t>
        </is>
      </c>
      <c r="D9" s="5" t="inlineStr">
        <is>
          <t>Calculated: 7×25×320</t>
        </is>
      </c>
    </row>
    <row r="10">
      <c r="A10" s="5" t="inlineStr">
        <is>
          <t>Fuel efficiency</t>
        </is>
      </c>
      <c r="B10" s="5" t="n">
        <v>5</v>
      </c>
      <c r="C10" s="5" t="inlineStr">
        <is>
          <t>km/L</t>
        </is>
      </c>
      <c r="D10" s="5" t="inlineStr">
        <is>
          <t>280,000 ÷ 56,000</t>
        </is>
      </c>
    </row>
    <row r="11">
      <c r="A11" s="5" t="inlineStr">
        <is>
          <t>Diesel EF (mobile, IPCC-derived)</t>
        </is>
      </c>
      <c r="B11" s="5" t="n">
        <v>2.68</v>
      </c>
      <c r="C11" s="5" t="inlineStr">
        <is>
          <t>kgCO2e/L</t>
        </is>
      </c>
      <c r="D11" s="5" t="inlineStr">
        <is>
          <t>IPCC 74,100 kgCO2/TJ × NCV 43 MJ/kg × 0.84 kg/L</t>
        </is>
      </c>
    </row>
    <row r="12">
      <c r="A12" s="5" t="inlineStr">
        <is>
          <t>Annual fleet emissions</t>
        </is>
      </c>
      <c r="B12" s="5" t="n">
        <v>150080</v>
      </c>
      <c r="C12" s="5" t="inlineStr">
        <is>
          <t>kgCO2e/yr</t>
        </is>
      </c>
      <c r="D12" s="5" t="inlineStr">
        <is>
          <t>56,000 × 2.68 = 150.08 tCO2e</t>
        </is>
      </c>
    </row>
    <row r="13">
      <c r="A13" s="5" t="inlineStr">
        <is>
          <t>Fleet emission intensity</t>
        </is>
      </c>
      <c r="B13" s="5" t="n">
        <v>0.536</v>
      </c>
      <c r="C13" s="5" t="inlineStr">
        <is>
          <t>kgCO2e/km</t>
        </is>
      </c>
      <c r="D13" s="5" t="inlineStr">
        <is>
          <t>150,080 ÷ 280,000</t>
        </is>
      </c>
    </row>
    <row r="14">
      <c r="A14" s="5" t="inlineStr">
        <is>
          <t>Emissions per bus per year</t>
        </is>
      </c>
      <c r="B14" s="5" t="n">
        <v>21.44</v>
      </c>
      <c r="C14" s="5" t="inlineStr">
        <is>
          <t>tCO2e/bus</t>
        </is>
      </c>
      <c r="D14" s="5" t="inlineStr">
        <is>
          <t>150.08 ÷ 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46" customWidth="1" min="4" max="4"/>
  </cols>
  <sheetData>
    <row r="1">
      <c r="A1" s="1" t="inlineStr">
        <is>
          <t>Organised Field/Technical Visits (Third-Party Buses) — Scope 3 (AY 2025–26)</t>
        </is>
      </c>
    </row>
    <row r="3">
      <c r="A3" s="4" t="inlineStr">
        <is>
          <t>Parameter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Source/Status</t>
        </is>
      </c>
    </row>
    <row r="4">
      <c r="A4" s="5" t="inlineStr">
        <is>
          <t>Approved bookings</t>
        </is>
      </c>
      <c r="B4" s="5" t="n">
        <v>144</v>
      </c>
      <c r="C4" s="5" t="inlineStr">
        <is>
          <t>bookings</t>
        </is>
      </c>
      <c r="D4" s="5" t="inlineStr">
        <is>
          <t>College records (verified)</t>
        </is>
      </c>
    </row>
    <row r="5">
      <c r="A5" s="5" t="inlineStr">
        <is>
          <t>Third-party buses required</t>
        </is>
      </c>
      <c r="B5" s="5" t="n">
        <v>281</v>
      </c>
      <c r="C5" s="5" t="inlineStr">
        <is>
          <t>buses</t>
        </is>
      </c>
      <c r="D5" s="5" t="inlineStr">
        <is>
          <t>College records (verified)</t>
        </is>
      </c>
    </row>
    <row r="6">
      <c r="A6" s="5" t="inlineStr">
        <is>
          <t>Normal round-trip distance</t>
        </is>
      </c>
      <c r="B6" s="5" t="n">
        <v>100</v>
      </c>
      <c r="C6" s="5" t="inlineStr">
        <is>
          <t>km</t>
        </is>
      </c>
      <c r="D6" s="5" t="inlineStr">
        <is>
          <t>Institutional assumption</t>
        </is>
      </c>
    </row>
    <row r="7">
      <c r="A7" s="5" t="inlineStr">
        <is>
          <t>Long-distance round-trip</t>
        </is>
      </c>
      <c r="B7" s="5" t="n">
        <v>400</v>
      </c>
      <c r="C7" s="5" t="inlineStr">
        <is>
          <t>km</t>
        </is>
      </c>
      <c r="D7" s="5" t="inlineStr">
        <is>
          <t>Institutional assumption (5% regional)</t>
        </is>
      </c>
    </row>
    <row r="8">
      <c r="A8" s="5" t="inlineStr">
        <is>
          <t>Trip distribution (normal/long)</t>
        </is>
      </c>
      <c r="B8" s="5" t="n">
        <v>95</v>
      </c>
      <c r="C8" s="5" t="inlineStr">
        <is>
          <t>/ 5 %</t>
        </is>
      </c>
      <c r="D8" s="5" t="inlineStr">
        <is>
          <t>Institutional assumption</t>
        </is>
      </c>
    </row>
    <row r="9">
      <c r="A9" s="5" t="inlineStr">
        <is>
          <t>Weighted round-trip distance</t>
        </is>
      </c>
      <c r="B9" s="5" t="n">
        <v>115</v>
      </c>
      <c r="C9" s="5" t="inlineStr">
        <is>
          <t>km/bus</t>
        </is>
      </c>
      <c r="D9" s="5" t="inlineStr">
        <is>
          <t>(0.95×100)+(0.05×400)</t>
        </is>
      </c>
    </row>
    <row r="10">
      <c r="A10" s="5" t="inlineStr">
        <is>
          <t>Total bus-km</t>
        </is>
      </c>
      <c r="B10" s="5" t="n">
        <v>32315</v>
      </c>
      <c r="C10" s="5" t="inlineStr">
        <is>
          <t>bus-km</t>
        </is>
      </c>
      <c r="D10" s="5" t="inlineStr">
        <is>
          <t>281 × 115</t>
        </is>
      </c>
    </row>
    <row r="11">
      <c r="A11" s="5" t="inlineStr">
        <is>
          <t>Assumed occupancy</t>
        </is>
      </c>
      <c r="B11" s="5" t="n">
        <v>40</v>
      </c>
      <c r="C11" s="5" t="inlineStr">
        <is>
          <t>passengers/bus</t>
        </is>
      </c>
      <c r="D11" s="5" t="inlineStr">
        <is>
          <t>IS 11545:2008</t>
        </is>
      </c>
    </row>
    <row r="12">
      <c r="A12" s="5" t="inlineStr">
        <is>
          <t>Passenger-km</t>
        </is>
      </c>
      <c r="B12" s="5" t="n">
        <v>1292600</v>
      </c>
      <c r="C12" s="5" t="inlineStr">
        <is>
          <t>pass-km</t>
        </is>
      </c>
      <c r="D12" s="5" t="inlineStr">
        <is>
          <t>32,315 × 40</t>
        </is>
      </c>
    </row>
    <row r="13">
      <c r="A13" s="5" t="inlineStr">
        <is>
          <t>Emission factor</t>
        </is>
      </c>
      <c r="B13" s="5" t="n">
        <v>0.015161</v>
      </c>
      <c r="C13" s="5" t="inlineStr">
        <is>
          <t>kgCO2/pass-km</t>
        </is>
      </c>
      <c r="D13" s="5" t="inlineStr">
        <is>
          <t>WRI India GHG Program 2015 (intracity bus)</t>
        </is>
      </c>
    </row>
    <row r="14">
      <c r="A14" s="5" t="inlineStr">
        <is>
          <t>ANNUAL EMISSIONS</t>
        </is>
      </c>
      <c r="B14" s="5" t="n">
        <v>19.6</v>
      </c>
      <c r="C14" s="5" t="inlineStr">
        <is>
          <t>tCO2e</t>
        </is>
      </c>
      <c r="D14" s="5" t="inlineStr">
        <is>
          <t>1,292,600 × 0.015161 = 19,597 kg</t>
        </is>
      </c>
    </row>
    <row r="16">
      <c r="A16" s="7" t="inlineStr">
        <is>
          <t>Limitation: WRI factor is for intracity buses; some trips up to 400 km round-trip. CO2-only factor, expressed as tCO2e.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46" customWidth="1" min="4" max="4"/>
  </cols>
  <sheetData>
    <row r="1">
      <c r="A1" s="1" t="inlineStr">
        <is>
          <t>Local Business Travel (Agency Vehicles) — Scope 3 (AY 2025–26)</t>
        </is>
      </c>
    </row>
    <row r="3">
      <c r="A3" s="4" t="inlineStr">
        <is>
          <t>Parameter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Source/Status</t>
        </is>
      </c>
    </row>
    <row r="4">
      <c r="A4" s="5" t="inlineStr">
        <is>
          <t>Visits per year</t>
        </is>
      </c>
      <c r="B4" s="5" t="n">
        <v>500</v>
      </c>
      <c r="C4" s="5" t="inlineStr">
        <is>
          <t>visits/yr</t>
        </is>
      </c>
      <c r="D4" s="5" t="inlineStr">
        <is>
          <t>Transport dept records (VERIFIED count)</t>
        </is>
      </c>
    </row>
    <row r="5">
      <c r="A5" s="5" t="inlineStr">
        <is>
          <t>Round-trip distance per visit</t>
        </is>
      </c>
      <c r="B5" s="5" t="n">
        <v>150</v>
      </c>
      <c r="C5" s="5" t="inlineStr">
        <is>
          <t>km</t>
        </is>
      </c>
      <c r="D5" s="5" t="inlineStr">
        <is>
          <t>ASSUMPTION — agreed with Dean's office</t>
        </is>
      </c>
    </row>
    <row r="6">
      <c r="A6" s="5" t="inlineStr">
        <is>
          <t>Annual distance</t>
        </is>
      </c>
      <c r="B6" s="5" t="n">
        <v>150000</v>
      </c>
      <c r="C6" s="5" t="inlineStr">
        <is>
          <t>km/yr</t>
        </is>
      </c>
      <c r="D6" s="5" t="inlineStr">
        <is>
          <t>500 × 150</t>
        </is>
      </c>
    </row>
    <row r="7">
      <c r="A7" s="5" t="inlineStr">
        <is>
          <t>Emission factor</t>
        </is>
      </c>
      <c r="B7" s="5" t="n">
        <v>0.171</v>
      </c>
      <c r="C7" s="5" t="inlineStr">
        <is>
          <t>kgCO2e/km</t>
        </is>
      </c>
      <c r="D7" s="5" t="inlineStr">
        <is>
          <t>DEFRA 2024 diesel passenger vehicle</t>
        </is>
      </c>
    </row>
    <row r="8">
      <c r="A8" s="5" t="inlineStr">
        <is>
          <t>ANNUAL EMISSIONS</t>
        </is>
      </c>
      <c r="B8" s="5" t="n">
        <v>25.65</v>
      </c>
      <c r="C8" s="5" t="inlineStr">
        <is>
          <t>tCO2e</t>
        </is>
      </c>
      <c r="D8" s="5" t="inlineStr">
        <is>
          <t>150,000 × 0.171 = 25,650 kg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1" customWidth="1" min="3" max="3"/>
    <col width="20" customWidth="1" min="4" max="4"/>
    <col width="24" customWidth="1" min="5" max="5"/>
    <col width="18" customWidth="1" min="6" max="6"/>
    <col width="15" customWidth="1" min="7" max="7"/>
  </cols>
  <sheetData>
    <row r="1">
      <c r="A1" s="1" t="inlineStr">
        <is>
          <t>Student Commuting — TWO VERSIONS (see discrepancy flag in README)</t>
        </is>
      </c>
    </row>
    <row r="2">
      <c r="A2" s="2" t="inlineStr">
        <is>
          <t>VERSION A — Main Report (909 valid responses, survey-basis population 7,400)</t>
        </is>
      </c>
    </row>
    <row r="4">
      <c r="A4" s="4" t="inlineStr">
        <is>
          <t>Mode</t>
        </is>
      </c>
      <c r="B4" s="4" t="inlineStr">
        <is>
          <t>Emissions (tCO2e/yr)</t>
        </is>
      </c>
    </row>
    <row r="5">
      <c r="A5" s="5" t="inlineStr">
        <is>
          <t>Two-wheeler</t>
        </is>
      </c>
      <c r="B5" s="5" t="n">
        <v>426.3</v>
      </c>
    </row>
    <row r="6">
      <c r="A6" s="5" t="inlineStr">
        <is>
          <t>Bus</t>
        </is>
      </c>
      <c r="B6" s="5" t="n">
        <v>779.9</v>
      </c>
    </row>
    <row r="7">
      <c r="A7" s="5" t="inlineStr">
        <is>
          <t>Auto/Cab</t>
        </is>
      </c>
      <c r="B7" s="5" t="n">
        <v>45.8</v>
      </c>
    </row>
    <row r="8">
      <c r="A8" s="5" t="inlineStr">
        <is>
          <t>Car</t>
        </is>
      </c>
      <c r="B8" s="5" t="n">
        <v>48</v>
      </c>
    </row>
    <row r="9">
      <c r="A9" s="5" t="inlineStr">
        <is>
          <t>Walking/Bicycle</t>
        </is>
      </c>
      <c r="B9" s="5" t="n">
        <v>0</v>
      </c>
    </row>
    <row r="10">
      <c r="A10" s="6" t="inlineStr">
        <is>
          <t>TOTAL</t>
        </is>
      </c>
      <c r="B10" s="6" t="n">
        <v>1299.9</v>
      </c>
    </row>
    <row r="12">
      <c r="A12" s="4" t="inlineStr">
        <is>
          <t>Programme</t>
        </is>
      </c>
      <c r="B12" s="4" t="inlineStr">
        <is>
          <t>Survey-basis population</t>
        </is>
      </c>
      <c r="C12" s="4" t="inlineStr">
        <is>
          <t>Emissions (tCO2e/yr)</t>
        </is>
      </c>
      <c r="D12" s="4" t="inlineStr">
        <is>
          <t>Basis</t>
        </is>
      </c>
    </row>
    <row r="13">
      <c r="A13" s="5" t="inlineStr">
        <is>
          <t>Engineering</t>
        </is>
      </c>
      <c r="B13" s="5" t="n">
        <v>4500</v>
      </c>
      <c r="C13" s="5" t="n">
        <v>1299.9</v>
      </c>
      <c r="D13" s="5" t="inlineStr">
        <is>
          <t>Directly surveyed</t>
        </is>
      </c>
    </row>
    <row r="14">
      <c r="A14" s="5" t="inlineStr">
        <is>
          <t>Pharmacy</t>
        </is>
      </c>
      <c r="B14" s="5" t="n">
        <v>600</v>
      </c>
      <c r="C14" s="5" t="n">
        <v>173.3</v>
      </c>
      <c r="D14" s="5" t="inlineStr">
        <is>
          <t>Population-based proxy</t>
        </is>
      </c>
    </row>
    <row r="15">
      <c r="A15" s="5" t="inlineStr">
        <is>
          <t>Polytechnic</t>
        </is>
      </c>
      <c r="B15" s="5" t="n">
        <v>2300</v>
      </c>
      <c r="C15" s="5" t="n">
        <v>423.4</v>
      </c>
      <c r="D15" s="5" t="inlineStr">
        <is>
          <t>Population-based proxy</t>
        </is>
      </c>
    </row>
    <row r="16">
      <c r="A16" s="6" t="inlineStr">
        <is>
          <t>TOTAL</t>
        </is>
      </c>
      <c r="B16" s="6" t="n">
        <v>7400</v>
      </c>
      <c r="C16" s="6" t="n">
        <v>1896.9</v>
      </c>
      <c r="D16" s="6" t="inlineStr">
        <is>
          <t>Combined</t>
        </is>
      </c>
    </row>
    <row r="18">
      <c r="A18" s="2" t="inlineStr">
        <is>
          <t>VERSION B — Revised Commuting Assessment (907 valid responses, extrapolated to verified 8,633)</t>
        </is>
      </c>
    </row>
    <row r="20">
      <c r="A20" s="4" t="inlineStr">
        <is>
          <t>Mode</t>
        </is>
      </c>
      <c r="B20" s="4" t="inlineStr">
        <is>
          <t>Valid responses</t>
        </is>
      </c>
      <c r="C20" s="4" t="inlineStr">
        <is>
          <t>Share (%)</t>
        </is>
      </c>
      <c r="D20" s="4" t="inlineStr">
        <is>
          <t>Annual distance (km)</t>
        </is>
      </c>
      <c r="E20" s="4" t="inlineStr">
        <is>
          <t>EF (kgCO2/km or pass-km)</t>
        </is>
      </c>
      <c r="F20" s="4" t="inlineStr">
        <is>
          <t>Emissions (tCO2e/yr)</t>
        </is>
      </c>
      <c r="G20" s="4" t="inlineStr">
        <is>
          <t>Emission share (%)</t>
        </is>
      </c>
    </row>
    <row r="21">
      <c r="A21" s="5" t="inlineStr">
        <is>
          <t>Two-wheeler</t>
        </is>
      </c>
      <c r="B21" s="5" t="n">
        <v>356</v>
      </c>
      <c r="C21" s="5" t="n">
        <v>39.25</v>
      </c>
      <c r="D21" s="5" t="n">
        <v>1322055</v>
      </c>
      <c r="E21" s="5" t="n">
        <v>0.03743</v>
      </c>
      <c r="F21" s="5" t="n">
        <v>49.4845</v>
      </c>
      <c r="G21" s="5" t="n">
        <v>47.47</v>
      </c>
    </row>
    <row r="22">
      <c r="A22" s="5" t="inlineStr">
        <is>
          <t>Bus</t>
        </is>
      </c>
      <c r="B22" s="5" t="n">
        <v>238</v>
      </c>
      <c r="C22" s="5" t="n">
        <v>26.24</v>
      </c>
      <c r="D22" s="5" t="n">
        <v>1671095</v>
      </c>
      <c r="E22" s="5" t="n">
        <v>0.015161</v>
      </c>
      <c r="F22" s="5" t="n">
        <v>25.3355</v>
      </c>
      <c r="G22" s="5" t="n">
        <v>24.3</v>
      </c>
    </row>
    <row r="23">
      <c r="A23" s="5" t="inlineStr">
        <is>
          <t>Auto/Cab</t>
        </is>
      </c>
      <c r="B23" s="5" t="n">
        <v>31</v>
      </c>
      <c r="C23" s="5" t="n">
        <v>3.42</v>
      </c>
      <c r="D23" s="5" t="n">
        <v>169326</v>
      </c>
      <c r="E23" s="5" t="n">
        <v>0.11779</v>
      </c>
      <c r="F23" s="5" t="n">
        <v>19.9449</v>
      </c>
      <c r="G23" s="5" t="n">
        <v>19.13</v>
      </c>
    </row>
    <row r="24">
      <c r="A24" s="5" t="inlineStr">
        <is>
          <t>Car</t>
        </is>
      </c>
      <c r="B24" s="5" t="n">
        <v>8</v>
      </c>
      <c r="C24" s="5" t="n">
        <v>0.88</v>
      </c>
      <c r="D24" s="5" t="n">
        <v>55125</v>
      </c>
      <c r="E24" s="5" t="n">
        <v>0.17221</v>
      </c>
      <c r="F24" s="5" t="n">
        <v>9.4931</v>
      </c>
      <c r="G24" s="5" t="n">
        <v>9.109999999999999</v>
      </c>
    </row>
    <row r="25">
      <c r="A25" s="5" t="inlineStr">
        <is>
          <t>Bicycle</t>
        </is>
      </c>
      <c r="B25" s="5" t="n">
        <v>18</v>
      </c>
      <c r="C25" s="5" t="n">
        <v>1.98</v>
      </c>
      <c r="D25" s="5" t="n">
        <v>24329</v>
      </c>
      <c r="E25" s="5" t="n">
        <v>0</v>
      </c>
      <c r="F25" s="5" t="n">
        <v>0</v>
      </c>
      <c r="G25" s="5" t="n">
        <v>0</v>
      </c>
    </row>
    <row r="26">
      <c r="A26" s="5" t="inlineStr">
        <is>
          <t>Walking</t>
        </is>
      </c>
      <c r="B26" s="5" t="n">
        <v>256</v>
      </c>
      <c r="C26" s="5" t="n">
        <v>28.22</v>
      </c>
      <c r="D26" s="5" t="n">
        <v>665861</v>
      </c>
      <c r="E26" s="5" t="n">
        <v>0</v>
      </c>
      <c r="F26" s="5" t="n">
        <v>0</v>
      </c>
      <c r="G26" s="5" t="n">
        <v>0</v>
      </c>
    </row>
    <row r="27">
      <c r="A27" s="6" t="inlineStr">
        <is>
          <t>SURVEY TOTAL</t>
        </is>
      </c>
      <c r="B27" s="6" t="n">
        <v>907</v>
      </c>
      <c r="C27" s="6" t="n">
        <v>100</v>
      </c>
      <c r="D27" s="6" t="n">
        <v>3907791</v>
      </c>
      <c r="E27" s="6" t="inlineStr"/>
      <c r="F27" s="6" t="n">
        <v>104.258</v>
      </c>
      <c r="G27" s="6" t="n">
        <v>100</v>
      </c>
    </row>
    <row r="29">
      <c r="A29" s="4" t="inlineStr">
        <is>
          <t>Parameter</t>
        </is>
      </c>
      <c r="B29" s="4" t="inlineStr">
        <is>
          <t>Value</t>
        </is>
      </c>
    </row>
    <row r="30">
      <c r="A30" s="5" t="inlineStr">
        <is>
          <t>Verified student population</t>
        </is>
      </c>
      <c r="B30" s="5" t="n">
        <v>8633</v>
      </c>
    </row>
    <row r="31">
      <c r="A31" s="5" t="inlineStr">
        <is>
          <t>Valid survey responses</t>
        </is>
      </c>
      <c r="B31" s="5" t="n">
        <v>907</v>
      </c>
    </row>
    <row r="32">
      <c r="A32" s="5" t="inlineStr">
        <is>
          <t>Academic weeks/yr</t>
        </is>
      </c>
      <c r="B32" s="5" t="n">
        <v>41</v>
      </c>
    </row>
    <row r="33">
      <c r="A33" s="5" t="inlineStr">
        <is>
          <t>Scale factor (8633/907)</t>
        </is>
      </c>
      <c r="B33" s="5" t="n">
        <v>9.518190000000001</v>
      </c>
    </row>
    <row r="34">
      <c r="A34" s="5" t="inlineStr">
        <is>
          <t>ESTIMATED TOTAL (tCO2e/yr)</t>
        </is>
      </c>
      <c r="B34" s="5" t="n">
        <v>992.35</v>
      </c>
    </row>
    <row r="35">
      <c r="A35" s="5" t="inlineStr">
        <is>
          <t>— Engineering alloc.</t>
        </is>
      </c>
      <c r="B35" s="5" t="n">
        <v>637.62</v>
      </c>
    </row>
    <row r="36">
      <c r="A36" s="5" t="inlineStr">
        <is>
          <t>— Polytechnic alloc.</t>
        </is>
      </c>
      <c r="B36" s="5" t="n">
        <v>278.52</v>
      </c>
    </row>
    <row r="37">
      <c r="A37" s="5" t="inlineStr">
        <is>
          <t>— Pharmacy alloc.</t>
        </is>
      </c>
      <c r="B37" s="5" t="n">
        <v>76.20999999999999</v>
      </c>
    </row>
    <row r="39">
      <c r="A39" s="7" t="inlineStr">
        <is>
          <t>Version B EFs: India GHG Program (WRI/TERI/CII) 2015 — two-wheeler 0.03743, bus intracity 0.015161, auto/cab 0.11779, car 0.17221 kg CO2/unit-km; annual dist = one-way × 2 × days/wk × 41. Version A from main report Sec 5.4.4 uses DEFRA-based EFs and pre-dates verified population.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34" customWidth="1" min="4" max="4"/>
  </cols>
  <sheetData>
    <row r="1">
      <c r="A1" s="1" t="inlineStr">
        <is>
          <t>Domestic Wastewater (On-Site Septic, Scope 1) — IPCC 2019 Refinement Tier 1</t>
        </is>
      </c>
    </row>
    <row r="3">
      <c r="A3" s="4" t="inlineStr">
        <is>
          <t>Parameter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Status</t>
        </is>
      </c>
    </row>
    <row r="4">
      <c r="A4" s="5" t="inlineStr">
        <is>
          <t>Population (P)</t>
        </is>
      </c>
      <c r="B4" s="5" t="n">
        <v>9456</v>
      </c>
      <c r="C4" s="5" t="inlineStr">
        <is>
          <t>persons</t>
        </is>
      </c>
      <c r="D4" s="5" t="inlineStr">
        <is>
          <t>Verified ERP</t>
        </is>
      </c>
    </row>
    <row r="5">
      <c r="A5" s="5" t="inlineStr">
        <is>
          <t>BOD5 per person</t>
        </is>
      </c>
      <c r="B5" s="5" t="n">
        <v>34</v>
      </c>
      <c r="C5" s="5" t="inlineStr">
        <is>
          <t>g/person/day</t>
        </is>
      </c>
      <c r="D5" s="5" t="inlineStr">
        <is>
          <t>IPCC 2019 Table 6.4 (India; 27–41)</t>
        </is>
      </c>
    </row>
    <row r="6">
      <c r="A6" s="5" t="inlineStr">
        <is>
          <t>Days/yr</t>
        </is>
      </c>
      <c r="B6" s="5" t="n">
        <v>365</v>
      </c>
      <c r="C6" s="5" t="inlineStr">
        <is>
          <t>days</t>
        </is>
      </c>
      <c r="D6" s="5" t="inlineStr">
        <is>
          <t>Assumed (full-time-equiv = upper bound)</t>
        </is>
      </c>
    </row>
    <row r="7">
      <c r="A7" s="5" t="inlineStr">
        <is>
          <t>Industrial correction (I)</t>
        </is>
      </c>
      <c r="B7" s="5" t="n">
        <v>1</v>
      </c>
      <c r="C7" s="5" t="inlineStr">
        <is>
          <t>—</t>
        </is>
      </c>
      <c r="D7" s="5" t="inlineStr">
        <is>
          <t>IPCC Eq 6.3a</t>
        </is>
      </c>
    </row>
    <row r="8">
      <c r="A8" s="5" t="inlineStr">
        <is>
          <t>Sludge compliance (F)</t>
        </is>
      </c>
      <c r="B8" s="5" t="n">
        <v>0.5</v>
      </c>
      <c r="C8" s="5" t="inlineStr">
        <is>
          <t>—</t>
        </is>
      </c>
      <c r="D8" s="5" t="inlineStr">
        <is>
          <t>IPCC Eq 6.3c default</t>
        </is>
      </c>
    </row>
    <row r="9">
      <c r="A9" s="5" t="inlineStr">
        <is>
          <t>TOW = P×BOD×0.001×365</t>
        </is>
      </c>
      <c r="B9" s="5" t="n">
        <v>117348.96</v>
      </c>
      <c r="C9" s="5" t="inlineStr">
        <is>
          <t>kg BOD/yr</t>
        </is>
      </c>
      <c r="D9" s="5" t="inlineStr">
        <is>
          <t>Calculated</t>
        </is>
      </c>
    </row>
    <row r="10">
      <c r="A10" s="5" t="inlineStr">
        <is>
          <t>Sludge removed S = TOW×F×0.5</t>
        </is>
      </c>
      <c r="B10" s="5" t="n">
        <v>29337.24</v>
      </c>
      <c r="C10" s="5" t="inlineStr">
        <is>
          <t>kg BOD/yr</t>
        </is>
      </c>
      <c r="D10" s="5" t="inlineStr">
        <is>
          <t>Calculated</t>
        </is>
      </c>
    </row>
    <row r="11">
      <c r="A11" s="5" t="inlineStr">
        <is>
          <t>Organics for CH4 (TOW−S)</t>
        </is>
      </c>
      <c r="B11" s="5" t="n">
        <v>88011.72</v>
      </c>
      <c r="C11" s="5" t="inlineStr">
        <is>
          <t>kg BOD/yr</t>
        </is>
      </c>
      <c r="D11" s="5" t="inlineStr">
        <is>
          <t>Calculated</t>
        </is>
      </c>
    </row>
    <row r="12">
      <c r="A12" s="5" t="inlineStr">
        <is>
          <t>B0 (max CH4 capacity)</t>
        </is>
      </c>
      <c r="B12" s="5" t="n">
        <v>0.6</v>
      </c>
      <c r="C12" s="5" t="inlineStr">
        <is>
          <t>kg CH4/kg BOD</t>
        </is>
      </c>
      <c r="D12" s="5" t="inlineStr">
        <is>
          <t>IPCC Table 6.2</t>
        </is>
      </c>
    </row>
    <row r="13">
      <c r="A13" s="5" t="inlineStr">
        <is>
          <t>MCF (septic tank)</t>
        </is>
      </c>
      <c r="B13" s="5" t="n">
        <v>0.5</v>
      </c>
      <c r="C13" s="5" t="inlineStr">
        <is>
          <t>—</t>
        </is>
      </c>
      <c r="D13" s="5" t="inlineStr">
        <is>
          <t>IPCC Table 6.3 (0.4–0.72)</t>
        </is>
      </c>
    </row>
    <row r="14">
      <c r="A14" s="5" t="inlineStr">
        <is>
          <t>EF = B0×MCF</t>
        </is>
      </c>
      <c r="B14" s="5" t="n">
        <v>0.3</v>
      </c>
      <c r="C14" s="5" t="inlineStr">
        <is>
          <t>kg CH4/kg BOD</t>
        </is>
      </c>
      <c r="D14" s="5" t="inlineStr">
        <is>
          <t>Calculated</t>
        </is>
      </c>
    </row>
    <row r="15">
      <c r="A15" s="5" t="inlineStr">
        <is>
          <t>CH4 = (TOW−S)×EF</t>
        </is>
      </c>
      <c r="B15" s="5" t="n">
        <v>26403.52</v>
      </c>
      <c r="C15" s="5" t="inlineStr">
        <is>
          <t>kg CH4/yr</t>
        </is>
      </c>
      <c r="D15" s="5" t="inlineStr">
        <is>
          <t>Calculated</t>
        </is>
      </c>
    </row>
    <row r="16">
      <c r="A16" s="5" t="inlineStr">
        <is>
          <t>GWP CH4 (non-fossil, AR6)</t>
        </is>
      </c>
      <c r="B16" s="5" t="n">
        <v>27</v>
      </c>
      <c r="C16" s="5" t="inlineStr">
        <is>
          <t>—</t>
        </is>
      </c>
      <c r="D16" s="5" t="inlineStr">
        <is>
          <t>GHG Protocol Aug 2024</t>
        </is>
      </c>
    </row>
    <row r="17">
      <c r="A17" s="5" t="inlineStr">
        <is>
          <t>CH4 as CO2e</t>
        </is>
      </c>
      <c r="B17" s="5" t="n">
        <v>712.89</v>
      </c>
      <c r="C17" s="5" t="inlineStr">
        <is>
          <t>tCO2e/yr</t>
        </is>
      </c>
      <c r="D17" s="5" t="inlineStr">
        <is>
          <t>Calculated</t>
        </is>
      </c>
    </row>
    <row r="18">
      <c r="A18" s="5" t="inlineStr">
        <is>
          <t>Nitrogen per person</t>
        </is>
      </c>
      <c r="B18" s="5" t="n">
        <v>4.5</v>
      </c>
      <c r="C18" s="5" t="inlineStr">
        <is>
          <t>kg N/person/yr</t>
        </is>
      </c>
      <c r="D18" s="5" t="inlineStr">
        <is>
          <t>ASSUMED (no source; ±2.3% impact)</t>
        </is>
      </c>
    </row>
    <row r="19">
      <c r="A19" s="5" t="inlineStr">
        <is>
          <t>Total nitrogen</t>
        </is>
      </c>
      <c r="B19" s="5" t="n">
        <v>42552</v>
      </c>
      <c r="C19" s="5" t="inlineStr">
        <is>
          <t>kg N/yr</t>
        </is>
      </c>
      <c r="D19" s="5" t="inlineStr">
        <is>
          <t>Calculated</t>
        </is>
      </c>
    </row>
    <row r="20">
      <c r="A20" s="5" t="inlineStr">
        <is>
          <t>N2O EF</t>
        </is>
      </c>
      <c r="B20" s="5" t="n">
        <v>0.005</v>
      </c>
      <c r="C20" s="5" t="inlineStr">
        <is>
          <t>kg N2O-N/kg N</t>
        </is>
      </c>
      <c r="D20" s="5" t="inlineStr">
        <is>
          <t>IPCC Table 6.8a</t>
        </is>
      </c>
    </row>
    <row r="21">
      <c r="A21" s="5" t="inlineStr">
        <is>
          <t>N2O = N×EF×44/28</t>
        </is>
      </c>
      <c r="B21" s="5" t="n">
        <v>334.34</v>
      </c>
      <c r="C21" s="5" t="inlineStr">
        <is>
          <t>kg N2O/yr</t>
        </is>
      </c>
      <c r="D21" s="5" t="inlineStr">
        <is>
          <t>Calculated</t>
        </is>
      </c>
    </row>
    <row r="22">
      <c r="A22" s="5" t="inlineStr">
        <is>
          <t>GWP N2O (AR6)</t>
        </is>
      </c>
      <c r="B22" s="5" t="n">
        <v>273</v>
      </c>
      <c r="C22" s="5" t="inlineStr">
        <is>
          <t>—</t>
        </is>
      </c>
      <c r="D22" s="5" t="inlineStr">
        <is>
          <t>GHG Protocol Aug 2024</t>
        </is>
      </c>
    </row>
    <row r="23">
      <c r="A23" s="5" t="inlineStr">
        <is>
          <t>N2O as CO2e</t>
        </is>
      </c>
      <c r="B23" s="5" t="n">
        <v>91.27</v>
      </c>
      <c r="C23" s="5" t="inlineStr">
        <is>
          <t>tCO2e/yr</t>
        </is>
      </c>
      <c r="D23" s="5" t="inlineStr">
        <is>
          <t>Calculated</t>
        </is>
      </c>
    </row>
    <row r="24">
      <c r="A24" s="5" t="inlineStr">
        <is>
          <t>TOTAL WASTEWATER</t>
        </is>
      </c>
      <c r="B24" s="5" t="n">
        <v>804.17</v>
      </c>
      <c r="C24" s="5" t="inlineStr">
        <is>
          <t>tCO2e/yr</t>
        </is>
      </c>
      <c r="D24" s="5" t="inlineStr">
        <is>
          <t>CH4 88.65% + N2O 11.35%</t>
        </is>
      </c>
    </row>
    <row r="26">
      <c r="A26" s="7">
        <f> 85.04 kg CO2e/person/yr. Upper bound (FTE basis). Supersedes previous 174.53 t (8,440 users, BOD 6 g, MCF 0.4, no 44/28, AR5 GWPs).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9" customWidth="1" min="4" max="4"/>
    <col width="9" customWidth="1" min="5" max="5"/>
    <col width="11" customWidth="1" min="6" max="6"/>
    <col width="12" customWidth="1" min="7" max="7"/>
    <col width="13" customWidth="1" min="8" max="8"/>
    <col width="26" customWidth="1" min="9" max="9"/>
  </cols>
  <sheetData>
    <row r="1">
      <c r="A1" s="1" t="inlineStr">
        <is>
          <t>Underground Water Storage Tanks (Manually Measured &amp; Verified)</t>
        </is>
      </c>
    </row>
    <row r="3">
      <c r="A3" s="4" t="inlineStr">
        <is>
          <t>Tank</t>
        </is>
      </c>
      <c r="B3" s="4" t="inlineStr">
        <is>
          <t>Location</t>
        </is>
      </c>
      <c r="C3" s="4" t="inlineStr">
        <is>
          <t>L (m)</t>
        </is>
      </c>
      <c r="D3" s="4" t="inlineStr">
        <is>
          <t>W (m)</t>
        </is>
      </c>
      <c r="E3" s="4" t="inlineStr">
        <is>
          <t>D (m)</t>
        </is>
      </c>
      <c r="F3" s="4" t="inlineStr">
        <is>
          <t>Geometry</t>
        </is>
      </c>
      <c r="G3" s="4" t="inlineStr">
        <is>
          <t>Volume (m3)</t>
        </is>
      </c>
      <c r="H3" s="4" t="inlineStr">
        <is>
          <t>Capacity (L)</t>
        </is>
      </c>
      <c r="I3" s="4" t="inlineStr">
        <is>
          <t>Purpose</t>
        </is>
      </c>
    </row>
    <row r="4">
      <c r="A4" s="5" t="n">
        <v>1</v>
      </c>
      <c r="B4" s="5" t="inlineStr">
        <is>
          <t>Inside Ladies Parking</t>
        </is>
      </c>
      <c r="C4" s="5" t="n">
        <v>4.8</v>
      </c>
      <c r="D4" s="5" t="n">
        <v>2.3</v>
      </c>
      <c r="E4" s="5" t="n">
        <v>1.9</v>
      </c>
      <c r="F4" s="5" t="inlineStr">
        <is>
          <t>Rect</t>
        </is>
      </c>
      <c r="G4" s="5" t="n">
        <v>20.976</v>
      </c>
      <c r="H4" s="5" t="n">
        <v>20976</v>
      </c>
      <c r="I4" s="5" t="inlineStr">
        <is>
          <t>Normal</t>
        </is>
      </c>
    </row>
    <row r="5">
      <c r="A5" s="5" t="n">
        <v>2</v>
      </c>
      <c r="B5" s="5" t="inlineStr">
        <is>
          <t>Near Ladies Hostel, behind Engg Bldg</t>
        </is>
      </c>
      <c r="C5" s="5" t="n">
        <v>2.8</v>
      </c>
      <c r="D5" s="5" t="n">
        <v>1.9</v>
      </c>
      <c r="E5" s="5" t="n">
        <v>1.9</v>
      </c>
      <c r="F5" s="5" t="inlineStr">
        <is>
          <t>Rect</t>
        </is>
      </c>
      <c r="G5" s="5" t="n">
        <v>10.108</v>
      </c>
      <c r="H5" s="5" t="n">
        <v>10108</v>
      </c>
      <c r="I5" s="5" t="inlineStr">
        <is>
          <t>Normal</t>
        </is>
      </c>
    </row>
    <row r="6">
      <c r="A6" s="5" t="n">
        <v>3</v>
      </c>
      <c r="B6" s="5" t="inlineStr">
        <is>
          <t>Inside Ladies Hostel</t>
        </is>
      </c>
      <c r="C6" s="5" t="n">
        <v>8</v>
      </c>
      <c r="D6" s="5" t="n">
        <v>2.6</v>
      </c>
      <c r="E6" s="5" t="n">
        <v>1.4</v>
      </c>
      <c r="F6" s="5" t="inlineStr">
        <is>
          <t>Rect</t>
        </is>
      </c>
      <c r="G6" s="5" t="n">
        <v>29.12</v>
      </c>
      <c r="H6" s="5" t="n">
        <v>29120</v>
      </c>
      <c r="I6" s="5" t="inlineStr">
        <is>
          <t>Normal</t>
        </is>
      </c>
    </row>
    <row r="7">
      <c r="A7" s="5" t="n">
        <v>4</v>
      </c>
      <c r="B7" s="5" t="inlineStr">
        <is>
          <t>Inside Ladies Hostel</t>
        </is>
      </c>
      <c r="C7" s="5" t="n">
        <v>4.8</v>
      </c>
      <c r="D7" s="5" t="n">
        <v>3.3</v>
      </c>
      <c r="E7" s="5" t="n">
        <v>1.9</v>
      </c>
      <c r="F7" s="5" t="inlineStr">
        <is>
          <t>Rect</t>
        </is>
      </c>
      <c r="G7" s="5" t="n">
        <v>30.096</v>
      </c>
      <c r="H7" s="5" t="n">
        <v>30096</v>
      </c>
      <c r="I7" s="5" t="inlineStr">
        <is>
          <t>Normal</t>
        </is>
      </c>
    </row>
    <row r="8">
      <c r="A8" s="5" t="n">
        <v>5</v>
      </c>
      <c r="B8" s="5" t="inlineStr">
        <is>
          <t>Backyard of Workshop/Pharmacy</t>
        </is>
      </c>
      <c r="C8" s="5" t="n">
        <v>6</v>
      </c>
      <c r="D8" s="5" t="n">
        <v>1.8</v>
      </c>
      <c r="E8" s="5" t="n">
        <v>2.3</v>
      </c>
      <c r="F8" s="5" t="inlineStr">
        <is>
          <t>Rect</t>
        </is>
      </c>
      <c r="G8" s="5" t="n">
        <v>24.84</v>
      </c>
      <c r="H8" s="5" t="n">
        <v>24840</v>
      </c>
      <c r="I8" s="5" t="inlineStr">
        <is>
          <t>Normal</t>
        </is>
      </c>
    </row>
    <row r="9">
      <c r="A9" s="5" t="n">
        <v>6</v>
      </c>
      <c r="B9" s="5" t="inlineStr">
        <is>
          <t>Backyard of Workshop</t>
        </is>
      </c>
      <c r="C9" s="5" t="n">
        <v>3.6</v>
      </c>
      <c r="D9" s="5" t="n">
        <v>1.4</v>
      </c>
      <c r="E9" s="5" t="n">
        <v>2.3</v>
      </c>
      <c r="F9" s="5" t="inlineStr">
        <is>
          <t>Rect</t>
        </is>
      </c>
      <c r="G9" s="5" t="n">
        <v>11.592</v>
      </c>
      <c r="H9" s="5" t="n">
        <v>11592</v>
      </c>
      <c r="I9" s="5" t="inlineStr">
        <is>
          <t>Rainwater harvesting</t>
        </is>
      </c>
    </row>
    <row r="10">
      <c r="A10" s="5" t="n">
        <v>7</v>
      </c>
      <c r="B10" s="5" t="inlineStr">
        <is>
          <t>Polytechnic Building</t>
        </is>
      </c>
      <c r="C10" s="5" t="n">
        <v>3.6</v>
      </c>
      <c r="D10" s="5" t="n">
        <v>2.8</v>
      </c>
      <c r="E10" s="5" t="n">
        <v>1.9</v>
      </c>
      <c r="F10" s="5" t="inlineStr">
        <is>
          <t>Rect</t>
        </is>
      </c>
      <c r="G10" s="5" t="n">
        <v>19.152</v>
      </c>
      <c r="H10" s="5" t="n">
        <v>19152</v>
      </c>
      <c r="I10" s="5" t="inlineStr">
        <is>
          <t>Normal</t>
        </is>
      </c>
    </row>
    <row r="11">
      <c r="A11" s="5" t="n">
        <v>8</v>
      </c>
      <c r="B11" s="5" t="inlineStr">
        <is>
          <t>Basketball Court</t>
        </is>
      </c>
      <c r="C11" s="5" t="inlineStr">
        <is>
          <t>6.5/2.9</t>
        </is>
      </c>
      <c r="D11" s="5" t="n">
        <v>1.9</v>
      </c>
      <c r="E11" s="5" t="n">
        <v>1.6</v>
      </c>
      <c r="F11" s="5" t="inlineStr">
        <is>
          <t>Trapezoid</t>
        </is>
      </c>
      <c r="G11" s="5" t="n">
        <v>14.288</v>
      </c>
      <c r="H11" s="5" t="n">
        <v>14288</v>
      </c>
      <c r="I11" s="5" t="inlineStr">
        <is>
          <t>Normal</t>
        </is>
      </c>
    </row>
    <row r="12">
      <c r="A12" s="5" t="n">
        <v>9</v>
      </c>
      <c r="B12" s="5" t="inlineStr">
        <is>
          <t>Boys' Hostel</t>
        </is>
      </c>
      <c r="C12" s="5" t="inlineStr">
        <is>
          <t>6.58/2.9</t>
        </is>
      </c>
      <c r="D12" s="5" t="n">
        <v>1.9</v>
      </c>
      <c r="E12" s="5" t="n">
        <v>1.6</v>
      </c>
      <c r="F12" s="5" t="inlineStr">
        <is>
          <t>Trapezoid</t>
        </is>
      </c>
      <c r="G12" s="5" t="n">
        <v>14.41</v>
      </c>
      <c r="H12" s="5" t="n">
        <v>14410</v>
      </c>
      <c r="I12" s="5" t="inlineStr">
        <is>
          <t>Normal</t>
        </is>
      </c>
    </row>
    <row r="13">
      <c r="A13" s="5" t="n">
        <v>10</v>
      </c>
      <c r="B13" s="5" t="inlineStr">
        <is>
          <t>Behind the Canteen</t>
        </is>
      </c>
      <c r="C13" s="5" t="n">
        <v>6.3</v>
      </c>
      <c r="D13" s="5" t="n">
        <v>2.1</v>
      </c>
      <c r="E13" s="5" t="n">
        <v>2</v>
      </c>
      <c r="F13" s="5" t="inlineStr">
        <is>
          <t>Rect</t>
        </is>
      </c>
      <c r="G13" s="5" t="n">
        <v>26.46</v>
      </c>
      <c r="H13" s="5" t="n">
        <v>26460</v>
      </c>
      <c r="I13" s="5" t="inlineStr">
        <is>
          <t>Normal</t>
        </is>
      </c>
    </row>
    <row r="14">
      <c r="A14" s="6" t="inlineStr">
        <is>
          <t>TOTAL (Tanks 1–10)</t>
        </is>
      </c>
      <c r="B14" s="6" t="inlineStr"/>
      <c r="C14" s="6" t="inlineStr"/>
      <c r="D14" s="6" t="inlineStr"/>
      <c r="E14" s="6" t="inlineStr"/>
      <c r="F14" s="6" t="inlineStr"/>
      <c r="G14" s="6" t="n">
        <v>201.042</v>
      </c>
      <c r="H14" s="6" t="n">
        <v>201042</v>
      </c>
      <c r="I14" s="6" t="inlineStr"/>
    </row>
    <row r="15">
      <c r="A15" s="5" t="inlineStr">
        <is>
          <t>Fire-system tank</t>
        </is>
      </c>
      <c r="B15" s="5" t="inlineStr">
        <is>
          <t>Fire reserve</t>
        </is>
      </c>
      <c r="C15" s="5" t="n">
        <v>12.6</v>
      </c>
      <c r="D15" s="5" t="n">
        <v>5</v>
      </c>
      <c r="E15" s="5" t="n">
        <v>2.1</v>
      </c>
      <c r="F15" s="5" t="inlineStr">
        <is>
          <t>Rect</t>
        </is>
      </c>
      <c r="G15" s="5" t="n">
        <v>132.3</v>
      </c>
      <c r="H15" s="5" t="n">
        <v>132300</v>
      </c>
      <c r="I15" s="5" t="inlineStr">
        <is>
          <t>Firefighting — excluded</t>
        </is>
      </c>
    </row>
    <row r="16">
      <c r="A16" s="5" t="inlineStr">
        <is>
          <t>GRAND TOTAL (inventory only)</t>
        </is>
      </c>
      <c r="B16" s="5" t="inlineStr"/>
      <c r="C16" s="5" t="inlineStr"/>
      <c r="D16" s="5" t="inlineStr"/>
      <c r="E16" s="5" t="inlineStr"/>
      <c r="F16" s="5" t="inlineStr"/>
      <c r="G16" s="5" t="n">
        <v>333.34</v>
      </c>
      <c r="H16" s="5" t="n">
        <v>333342</v>
      </c>
      <c r="I16" s="5" t="inlineStr"/>
    </row>
    <row r="18">
      <c r="A18" s="4" t="inlineStr">
        <is>
          <t>Derived water metric</t>
        </is>
      </c>
      <c r="B18" s="4" t="inlineStr">
        <is>
          <t>Case A (Tanks 1–10)</t>
        </is>
      </c>
      <c r="C18" s="4" t="inlineStr">
        <is>
          <t>Case B (excl. Tank 6)</t>
        </is>
      </c>
    </row>
    <row r="19">
      <c r="A19" s="5" t="inlineStr">
        <is>
          <t>Storage (m3)</t>
        </is>
      </c>
      <c r="B19" s="5" t="n">
        <v>201.0416</v>
      </c>
      <c r="C19" s="5" t="n">
        <v>189.4496</v>
      </c>
    </row>
    <row r="20">
      <c r="A20" s="5" t="inlineStr">
        <is>
          <t>Refill frequency</t>
        </is>
      </c>
      <c r="B20" s="5" t="inlineStr">
        <is>
          <t>Once / 2 days</t>
        </is>
      </c>
      <c r="C20" s="5" t="inlineStr">
        <is>
          <t>Once / 2 days</t>
        </is>
      </c>
    </row>
    <row r="21">
      <c r="A21" s="5" t="inlineStr">
        <is>
          <t>Daily water requirement (m3/day)</t>
        </is>
      </c>
      <c r="B21" s="5" t="n">
        <v>100.52</v>
      </c>
      <c r="C21" s="5" t="n">
        <v>94.72</v>
      </c>
    </row>
    <row r="22">
      <c r="A22" s="5" t="inlineStr">
        <is>
          <t>Daily (L/day)</t>
        </is>
      </c>
      <c r="B22" s="5" t="n">
        <v>100521</v>
      </c>
      <c r="C22" s="5" t="n">
        <v>94725</v>
      </c>
    </row>
    <row r="23">
      <c r="A23" s="5" t="inlineStr">
        <is>
          <t>Annual (m3/yr)</t>
        </is>
      </c>
      <c r="B23" s="5" t="n">
        <v>36690</v>
      </c>
      <c r="C23" s="5" t="n">
        <v>34575</v>
      </c>
    </row>
    <row r="24">
      <c r="A24" s="5" t="inlineStr">
        <is>
          <t>Per person (L/p/day)</t>
        </is>
      </c>
      <c r="B24" s="5" t="n">
        <v>10.63</v>
      </c>
      <c r="C24" s="5" t="n">
        <v>10.02</v>
      </c>
    </row>
    <row r="25">
      <c r="A25" s="5" t="inlineStr">
        <is>
          <t>Est. wastewater @80% (m3/day)</t>
        </is>
      </c>
      <c r="B25" s="5" t="n">
        <v>80.42</v>
      </c>
      <c r="C25" s="5" t="n">
        <v>75.78</v>
      </c>
    </row>
    <row r="26">
      <c r="A26" s="5" t="inlineStr">
        <is>
          <t>Est. wastewater (m3/yr)</t>
        </is>
      </c>
      <c r="B26" s="5" t="n">
        <v>29352</v>
      </c>
      <c r="C26" s="5" t="n">
        <v>27660</v>
      </c>
    </row>
    <row r="28">
      <c r="A28" s="7" t="inlineStr">
        <is>
          <t>Storage-turnover estimate only — NOT metered. NBC 2016 benchmark 45 L/p/day would imply 425 m3/day; tank estimate ~24% of benchmark (likely understates: multiple refills, direct borewell supply).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16" customWidth="1" min="3" max="3"/>
  </cols>
  <sheetData>
    <row r="1">
      <c r="A1" s="1" t="inlineStr">
        <is>
          <t>Solid Waste Generation (Scope 3)</t>
        </is>
      </c>
    </row>
    <row r="3">
      <c r="A3" s="4" t="inlineStr">
        <is>
          <t>Waste Source</t>
        </is>
      </c>
      <c r="B3" s="4" t="inlineStr">
        <is>
          <t>Sub-category</t>
        </is>
      </c>
      <c r="C3" s="4" t="inlineStr">
        <is>
          <t>Waste (kg/day)</t>
        </is>
      </c>
    </row>
    <row r="4">
      <c r="A4" s="5" t="inlineStr">
        <is>
          <t>Guest House</t>
        </is>
      </c>
      <c r="B4" s="5" t="inlineStr">
        <is>
          <t>—</t>
        </is>
      </c>
      <c r="C4" s="5" t="inlineStr">
        <is>
          <t>30–45</t>
        </is>
      </c>
    </row>
    <row r="5">
      <c r="A5" s="5" t="inlineStr">
        <is>
          <t>Hostel</t>
        </is>
      </c>
      <c r="B5" s="5" t="inlineStr">
        <is>
          <t>Girls</t>
        </is>
      </c>
      <c r="C5" s="5" t="inlineStr">
        <is>
          <t>140–150</t>
        </is>
      </c>
    </row>
    <row r="6">
      <c r="A6" s="5" t="inlineStr">
        <is>
          <t>Mess</t>
        </is>
      </c>
      <c r="B6" s="5" t="inlineStr">
        <is>
          <t>Girls</t>
        </is>
      </c>
      <c r="C6" s="5" t="inlineStr">
        <is>
          <t>100</t>
        </is>
      </c>
    </row>
    <row r="7">
      <c r="A7" s="5" t="inlineStr">
        <is>
          <t>Hostel</t>
        </is>
      </c>
      <c r="B7" s="5" t="inlineStr">
        <is>
          <t>Boys</t>
        </is>
      </c>
      <c r="C7" s="5" t="inlineStr">
        <is>
          <t>130–160</t>
        </is>
      </c>
    </row>
    <row r="8">
      <c r="A8" s="5" t="inlineStr">
        <is>
          <t>Mess</t>
        </is>
      </c>
      <c r="B8" s="5" t="inlineStr">
        <is>
          <t>Boys</t>
        </is>
      </c>
      <c r="C8" s="5" t="inlineStr">
        <is>
          <t>100</t>
        </is>
      </c>
    </row>
    <row r="9">
      <c r="A9" s="5" t="inlineStr">
        <is>
          <t>Institute Buildings</t>
        </is>
      </c>
      <c r="B9" s="5" t="inlineStr">
        <is>
          <t>Engg + Poly + Pharma</t>
        </is>
      </c>
      <c r="C9" s="5" t="inlineStr">
        <is>
          <t>170–190</t>
        </is>
      </c>
    </row>
    <row r="10">
      <c r="A10" s="5" t="inlineStr">
        <is>
          <t>Canteen</t>
        </is>
      </c>
      <c r="B10" s="5" t="inlineStr">
        <is>
          <t>—</t>
        </is>
      </c>
      <c r="C10" s="5" t="inlineStr">
        <is>
          <t>60–70</t>
        </is>
      </c>
    </row>
    <row r="11">
      <c r="A11" s="5" t="inlineStr">
        <is>
          <t>Miscellaneous</t>
        </is>
      </c>
      <c r="B11" s="5" t="inlineStr">
        <is>
          <t>Campus waste</t>
        </is>
      </c>
      <c r="C11" s="5" t="inlineStr">
        <is>
          <t>~30</t>
        </is>
      </c>
    </row>
    <row r="13">
      <c r="A13" s="4" t="inlineStr">
        <is>
          <t>Summary Metric</t>
        </is>
      </c>
      <c r="B13" s="4" t="inlineStr">
        <is>
          <t>Value (kg/day)</t>
        </is>
      </c>
    </row>
    <row r="14">
      <c r="A14" s="5" t="inlineStr">
        <is>
          <t>Total waste generated</t>
        </is>
      </c>
      <c r="B14" s="5" t="inlineStr">
        <is>
          <t>~760–845</t>
        </is>
      </c>
    </row>
    <row r="15">
      <c r="A15" s="5" t="inlineStr">
        <is>
          <t>Total recycled</t>
        </is>
      </c>
      <c r="B15" s="5" t="inlineStr">
        <is>
          <t>450–500</t>
        </is>
      </c>
    </row>
    <row r="16">
      <c r="A16" s="5" t="inlineStr">
        <is>
          <t>Sent to landfill</t>
        </is>
      </c>
      <c r="B16" s="5" t="inlineStr">
        <is>
          <t>310–395</t>
        </is>
      </c>
    </row>
    <row r="17">
      <c r="A17" s="5" t="inlineStr">
        <is>
          <t>Recycling rate</t>
        </is>
      </c>
      <c r="B17" s="5" t="inlineStr">
        <is>
          <t>~59–62 %</t>
        </is>
      </c>
    </row>
    <row r="18">
      <c r="A18" s="5" t="inlineStr">
        <is>
          <t>Dustbins (inside + outside)</t>
        </is>
      </c>
      <c r="B18" s="5" t="inlineStr">
        <is>
          <t>40</t>
        </is>
      </c>
    </row>
    <row r="19">
      <c r="A19" s="5" t="inlineStr">
        <is>
          <t>Collection frequency</t>
        </is>
      </c>
      <c r="B19" s="5" t="inlineStr">
        <is>
          <t>Daily</t>
        </is>
      </c>
    </row>
    <row r="21">
      <c r="A21" s="4" t="inlineStr">
        <is>
          <t>Carbon metric</t>
        </is>
      </c>
      <c r="B21" s="4" t="inlineStr">
        <is>
          <t>Value</t>
        </is>
      </c>
    </row>
    <row r="22">
      <c r="A22" s="5" t="inlineStr">
        <is>
          <t>Net emissions after recycling credit</t>
        </is>
      </c>
      <c r="B22" s="5" t="inlineStr">
        <is>
          <t>59.50 tCO2e/yr (midpoint of 56–63)</t>
        </is>
      </c>
    </row>
    <row r="23">
      <c r="A23" s="5" t="inlineStr">
        <is>
          <t>EFs used</t>
        </is>
      </c>
      <c r="B23" s="5" t="inlineStr">
        <is>
          <t>Landfill 1.9 kgCO2e/kg; compost 0.1 kgCO2e/kg (IPCC 2006 Vol.5)</t>
        </is>
      </c>
    </row>
    <row r="24">
      <c r="A24" s="5" t="inlineStr">
        <is>
          <t>Emissions (kg CO2/day)</t>
        </is>
      </c>
      <c r="B24" s="5" t="inlineStr">
        <is>
          <t>380–422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12" customWidth="1" min="4" max="4"/>
    <col width="12" customWidth="1" min="5" max="5"/>
    <col width="20" customWidth="1" min="6" max="6"/>
    <col width="17" customWidth="1" min="7" max="7"/>
    <col width="11" customWidth="1" min="8" max="8"/>
    <col width="17" customWidth="1" min="9" max="9"/>
    <col width="15" customWidth="1" min="10" max="10"/>
    <col width="20" customWidth="1" min="11" max="11"/>
  </cols>
  <sheetData>
    <row r="1">
      <c r="A1" s="1" t="inlineStr">
        <is>
          <t>Campus Green Cover &amp; Tree Inventory (1,036 trees, 44 species)</t>
        </is>
      </c>
    </row>
    <row r="3">
      <c r="A3" s="4" t="inlineStr">
        <is>
          <t>Metric</t>
        </is>
      </c>
      <c r="B3" s="4" t="inlineStr">
        <is>
          <t>Value</t>
        </is>
      </c>
    </row>
    <row r="4">
      <c r="A4" s="5" t="inlineStr">
        <is>
          <t>Total trees</t>
        </is>
      </c>
      <c r="B4" s="5" t="n">
        <v>1036</v>
      </c>
    </row>
    <row r="5">
      <c r="A5" s="5" t="inlineStr">
        <is>
          <t>Total species</t>
        </is>
      </c>
      <c r="B5" s="5" t="n">
        <v>44</v>
      </c>
    </row>
    <row r="6">
      <c r="A6" s="5" t="inlineStr">
        <is>
          <t>Total carbon absorption</t>
        </is>
      </c>
      <c r="B6" s="5" t="n">
        <v>24787</v>
      </c>
    </row>
    <row r="7">
      <c r="A7" s="5" t="inlineStr">
        <is>
          <t>Unit (kg CO2/yr)</t>
        </is>
      </c>
      <c r="B7" s="5" t="inlineStr"/>
    </row>
    <row r="8">
      <c r="A8" s="5" t="inlineStr">
        <is>
          <t>Avg carbon per tree (kg/yr)</t>
        </is>
      </c>
      <c r="B8" s="5" t="n">
        <v>23.93</v>
      </c>
    </row>
    <row r="9">
      <c r="A9" s="5" t="inlineStr">
        <is>
          <t>Total campus area (m2)</t>
        </is>
      </c>
      <c r="B9" s="5" t="n">
        <v>75080</v>
      </c>
    </row>
    <row r="10">
      <c r="A10" s="5" t="inlineStr">
        <is>
          <t>Green cover area (m2)</t>
        </is>
      </c>
      <c r="B10" s="5" t="n">
        <v>51700</v>
      </c>
    </row>
    <row r="11">
      <c r="A11" s="5" t="inlineStr">
        <is>
          <t>Avg tree height (m)</t>
        </is>
      </c>
      <c r="B11" s="5" t="n">
        <v>11.7</v>
      </c>
    </row>
    <row r="12">
      <c r="A12" s="5" t="inlineStr">
        <is>
          <t>Max height (m)</t>
        </is>
      </c>
      <c r="B12" s="5" t="n">
        <v>35.66</v>
      </c>
    </row>
    <row r="13">
      <c r="A13" s="5" t="inlineStr">
        <is>
          <t>Min height (m)</t>
        </is>
      </c>
      <c r="B13" s="5" t="n">
        <v>0.61</v>
      </c>
    </row>
    <row r="14">
      <c r="A14" s="5" t="inlineStr">
        <is>
          <t>Avg DBH (cm)</t>
        </is>
      </c>
      <c r="B14" s="5" t="n">
        <v>64</v>
      </c>
    </row>
    <row r="15">
      <c r="A15" s="5" t="inlineStr">
        <is>
          <t>Max DBH (m)</t>
        </is>
      </c>
      <c r="B15" s="5" t="n">
        <v>1.83</v>
      </c>
    </row>
    <row r="16">
      <c r="A16" s="5" t="inlineStr">
        <is>
          <t>Sequestration total (tCO2e/yr)</t>
        </is>
      </c>
      <c r="B16" s="5" t="n">
        <v>24.79</v>
      </c>
    </row>
    <row r="17">
      <c r="A17" s="5" t="inlineStr">
        <is>
          <t>Avg temp inside campus (°C)</t>
        </is>
      </c>
      <c r="B17" s="5" t="inlineStr">
        <is>
          <t>33–34</t>
        </is>
      </c>
    </row>
    <row r="18">
      <c r="A18" s="5" t="inlineStr">
        <is>
          <t>Outside (°C)</t>
        </is>
      </c>
      <c r="B18" s="5" t="inlineStr">
        <is>
          <t>37–38</t>
        </is>
      </c>
    </row>
    <row r="19">
      <c r="A19" s="5" t="inlineStr">
        <is>
          <t>Difference</t>
        </is>
      </c>
      <c r="B19" s="5" t="inlineStr">
        <is>
          <t>2–4 (xlsx cell error 46146)</t>
        </is>
      </c>
    </row>
    <row r="20">
      <c r="A20" s="5" t="inlineStr">
        <is>
          <t>Maintenance</t>
        </is>
      </c>
      <c r="B20" s="5" t="inlineStr">
        <is>
          <t>Manual; organic fertilizer; manual &amp; drip watering; weekly; monthly health check</t>
        </is>
      </c>
    </row>
    <row r="21">
      <c r="A21" s="5" t="inlineStr">
        <is>
          <t>Plantation records</t>
        </is>
      </c>
      <c r="B21" s="5" t="inlineStr">
        <is>
          <t>Yes; mapped; all 1,036 trees planted (2025 count)</t>
        </is>
      </c>
    </row>
    <row r="24">
      <c r="A24" s="2" t="inlineStr">
        <is>
          <t>SPECIES-LEVEL TABLE (O2 = CO2 × 0.727)</t>
        </is>
      </c>
    </row>
    <row r="25">
      <c r="A25" s="4" t="inlineStr">
        <is>
          <t>No.</t>
        </is>
      </c>
      <c r="B25" s="4" t="inlineStr">
        <is>
          <t>Species</t>
        </is>
      </c>
      <c r="C25" s="4" t="inlineStr">
        <is>
          <t>Count</t>
        </is>
      </c>
      <c r="D25" s="4" t="inlineStr">
        <is>
          <t>Avg Ht (m)</t>
        </is>
      </c>
      <c r="E25" s="4" t="inlineStr">
        <is>
          <t>Avg DBH (m)</t>
        </is>
      </c>
      <c r="F25" s="4" t="inlineStr">
        <is>
          <t>CO2 rate (kg/tree/yr)</t>
        </is>
      </c>
      <c r="G25" s="4" t="inlineStr">
        <is>
          <t>CO2 total (kg/yr)</t>
        </is>
      </c>
      <c r="H25" s="4" t="inlineStr">
        <is>
          <t>% of total</t>
        </is>
      </c>
      <c r="I25" s="4" t="inlineStr">
        <is>
          <t>O2/tree/yr (kg)</t>
        </is>
      </c>
      <c r="J25" s="4" t="inlineStr">
        <is>
          <t>O2 total (kg/yr)</t>
        </is>
      </c>
      <c r="K25" s="4" t="inlineStr">
        <is>
          <t>Class</t>
        </is>
      </c>
    </row>
    <row r="26">
      <c r="A26" s="5" t="n">
        <v>1</v>
      </c>
      <c r="B26" s="5" t="inlineStr">
        <is>
          <t>Rain Tree</t>
        </is>
      </c>
      <c r="C26" s="5" t="n">
        <v>176</v>
      </c>
      <c r="D26" s="5" t="n">
        <v>13.21</v>
      </c>
      <c r="E26" s="5" t="n">
        <v>0.84</v>
      </c>
      <c r="F26" s="5" t="n">
        <v>47.5</v>
      </c>
      <c r="G26" s="5" t="n">
        <v>8360</v>
      </c>
      <c r="H26" s="5" t="n">
        <v>0.3373</v>
      </c>
      <c r="I26" s="5" t="n">
        <v>34.53</v>
      </c>
      <c r="J26" s="5" t="n">
        <v>6078</v>
      </c>
      <c r="K26" s="5" t="inlineStr">
        <is>
          <t>Large canopy</t>
        </is>
      </c>
    </row>
    <row r="27">
      <c r="A27" s="5" t="n">
        <v>2</v>
      </c>
      <c r="B27" s="5" t="inlineStr">
        <is>
          <t>Silver-Oak</t>
        </is>
      </c>
      <c r="C27" s="5" t="n">
        <v>165</v>
      </c>
      <c r="D27" s="5" t="n">
        <v>16.32</v>
      </c>
      <c r="E27" s="5" t="n">
        <v>0.52</v>
      </c>
      <c r="F27" s="5" t="n">
        <v>35</v>
      </c>
      <c r="G27" s="5" t="n">
        <v>5775</v>
      </c>
      <c r="H27" s="5" t="n">
        <v>0.2331</v>
      </c>
      <c r="I27" s="5" t="n">
        <v>25.45</v>
      </c>
      <c r="J27" s="5" t="n">
        <v>4198</v>
      </c>
      <c r="K27" s="5" t="inlineStr">
        <is>
          <t>Large canopy</t>
        </is>
      </c>
    </row>
    <row r="28">
      <c r="A28" s="5" t="n">
        <v>3</v>
      </c>
      <c r="B28" s="5" t="inlineStr">
        <is>
          <t>Spathodea</t>
        </is>
      </c>
      <c r="C28" s="5" t="n">
        <v>18</v>
      </c>
      <c r="D28" s="5" t="n">
        <v>16.49</v>
      </c>
      <c r="E28" s="5" t="n">
        <v>1.69</v>
      </c>
      <c r="F28" s="5" t="n">
        <v>40</v>
      </c>
      <c r="G28" s="5" t="n">
        <v>720</v>
      </c>
      <c r="H28" s="5" t="n">
        <v>0.029</v>
      </c>
      <c r="I28" s="5" t="n">
        <v>29.08</v>
      </c>
      <c r="J28" s="5" t="n">
        <v>523</v>
      </c>
      <c r="K28" s="5" t="inlineStr">
        <is>
          <t>Large canopy</t>
        </is>
      </c>
    </row>
    <row r="29">
      <c r="A29" s="5" t="n">
        <v>4</v>
      </c>
      <c r="B29" s="5" t="inlineStr">
        <is>
          <t>Saptaparni</t>
        </is>
      </c>
      <c r="C29" s="5" t="n">
        <v>16</v>
      </c>
      <c r="D29" s="5" t="n">
        <v>16.22</v>
      </c>
      <c r="E29" s="5" t="n">
        <v>0.74</v>
      </c>
      <c r="F29" s="5" t="n">
        <v>35</v>
      </c>
      <c r="G29" s="5" t="n">
        <v>560</v>
      </c>
      <c r="H29" s="5" t="n">
        <v>0.0226</v>
      </c>
      <c r="I29" s="5" t="n">
        <v>25.45</v>
      </c>
      <c r="J29" s="5" t="n">
        <v>407</v>
      </c>
      <c r="K29" s="5" t="inlineStr">
        <is>
          <t>Large canopy</t>
        </is>
      </c>
    </row>
    <row r="30">
      <c r="A30" s="5" t="n">
        <v>5</v>
      </c>
      <c r="B30" s="5" t="inlineStr">
        <is>
          <t>Shirish</t>
        </is>
      </c>
      <c r="C30" s="5" t="n">
        <v>2</v>
      </c>
      <c r="D30" s="5" t="n">
        <v>28</v>
      </c>
      <c r="E30" s="5" t="n">
        <v>0.42</v>
      </c>
      <c r="F30" s="5" t="n">
        <v>50</v>
      </c>
      <c r="G30" s="5" t="n">
        <v>100</v>
      </c>
      <c r="H30" s="5" t="n">
        <v>0.004</v>
      </c>
      <c r="I30" s="5" t="n">
        <v>36.35</v>
      </c>
      <c r="J30" s="5" t="n">
        <v>73</v>
      </c>
      <c r="K30" s="5" t="inlineStr">
        <is>
          <t>Large canopy</t>
        </is>
      </c>
    </row>
    <row r="31">
      <c r="A31" s="5" t="n">
        <v>6</v>
      </c>
      <c r="B31" s="5" t="inlineStr">
        <is>
          <t>Rubber (Ficus)</t>
        </is>
      </c>
      <c r="C31" s="5" t="n">
        <v>2</v>
      </c>
      <c r="D31" s="5" t="n">
        <v>14.23</v>
      </c>
      <c r="E31" s="5" t="n">
        <v>0.88</v>
      </c>
      <c r="F31" s="5" t="n">
        <v>30</v>
      </c>
      <c r="G31" s="5" t="n">
        <v>60</v>
      </c>
      <c r="H31" s="5" t="n">
        <v>0.0024</v>
      </c>
      <c r="I31" s="5" t="n">
        <v>21.81</v>
      </c>
      <c r="J31" s="5" t="n">
        <v>44</v>
      </c>
      <c r="K31" s="5" t="inlineStr">
        <is>
          <t>Large canopy</t>
        </is>
      </c>
    </row>
    <row r="32">
      <c r="A32" s="5" t="n">
        <v>7</v>
      </c>
      <c r="B32" s="5" t="inlineStr">
        <is>
          <t>Kadulimb</t>
        </is>
      </c>
      <c r="C32" s="5" t="n">
        <v>2</v>
      </c>
      <c r="D32" s="5" t="n">
        <v>15.72</v>
      </c>
      <c r="E32" s="5" t="n">
        <v>0.5</v>
      </c>
      <c r="F32" s="5" t="n">
        <v>22</v>
      </c>
      <c r="G32" s="5" t="n">
        <v>44</v>
      </c>
      <c r="H32" s="5" t="n">
        <v>0.0018</v>
      </c>
      <c r="I32" s="5" t="n">
        <v>15.99</v>
      </c>
      <c r="J32" s="5" t="n">
        <v>32</v>
      </c>
      <c r="K32" s="5" t="inlineStr">
        <is>
          <t>Large canopy</t>
        </is>
      </c>
    </row>
    <row r="33">
      <c r="A33" s="5" t="n">
        <v>8</v>
      </c>
      <c r="B33" s="5" t="inlineStr">
        <is>
          <t>Fanas (Jackfruit)</t>
        </is>
      </c>
      <c r="C33" s="5" t="n">
        <v>1</v>
      </c>
      <c r="D33" s="5" t="n">
        <v>18.29</v>
      </c>
      <c r="E33" s="5" t="n">
        <v>0.86</v>
      </c>
      <c r="F33" s="5" t="n">
        <v>25</v>
      </c>
      <c r="G33" s="5" t="n">
        <v>25</v>
      </c>
      <c r="H33" s="5" t="n">
        <v>0.001</v>
      </c>
      <c r="I33" s="5" t="n">
        <v>18.18</v>
      </c>
      <c r="J33" s="5" t="n">
        <v>18</v>
      </c>
      <c r="K33" s="5" t="inlineStr">
        <is>
          <t>Large canopy</t>
        </is>
      </c>
    </row>
    <row r="34">
      <c r="A34" s="5" t="n">
        <v>9</v>
      </c>
      <c r="B34" s="5" t="inlineStr">
        <is>
          <t>Coconut</t>
        </is>
      </c>
      <c r="C34" s="5" t="n">
        <v>151</v>
      </c>
      <c r="D34" s="5" t="n">
        <v>13.07</v>
      </c>
      <c r="E34" s="5" t="n">
        <v>0.51</v>
      </c>
      <c r="F34" s="5" t="n">
        <v>14.7</v>
      </c>
      <c r="G34" s="5" t="n">
        <v>2220</v>
      </c>
      <c r="H34" s="5" t="n">
        <v>0.0895</v>
      </c>
      <c r="I34" s="5" t="n">
        <v>10.69</v>
      </c>
      <c r="J34" s="5" t="n">
        <v>1614</v>
      </c>
      <c r="K34" s="5" t="inlineStr">
        <is>
          <t>Palm</t>
        </is>
      </c>
    </row>
    <row r="35">
      <c r="A35" s="5" t="n">
        <v>10</v>
      </c>
      <c r="B35" s="5" t="inlineStr">
        <is>
          <t>Bottle Palm</t>
        </is>
      </c>
      <c r="C35" s="5" t="n">
        <v>116</v>
      </c>
      <c r="D35" s="5" t="n">
        <v>13.38</v>
      </c>
      <c r="E35" s="5" t="n">
        <v>0.59</v>
      </c>
      <c r="F35" s="5" t="n">
        <v>7.5</v>
      </c>
      <c r="G35" s="5" t="n">
        <v>870</v>
      </c>
      <c r="H35" s="5" t="n">
        <v>0.0351</v>
      </c>
      <c r="I35" s="5" t="n">
        <v>5.45</v>
      </c>
      <c r="J35" s="5" t="n">
        <v>632</v>
      </c>
      <c r="K35" s="5" t="inlineStr">
        <is>
          <t>Palm</t>
        </is>
      </c>
    </row>
    <row r="36">
      <c r="A36" s="5" t="n">
        <v>11</v>
      </c>
      <c r="B36" s="5" t="inlineStr">
        <is>
          <t>Fan Palm</t>
        </is>
      </c>
      <c r="C36" s="5" t="n">
        <v>12</v>
      </c>
      <c r="D36" s="5" t="n">
        <v>2.39</v>
      </c>
      <c r="E36" s="5" t="n">
        <v>0.1</v>
      </c>
      <c r="F36" s="5" t="n">
        <v>5</v>
      </c>
      <c r="G36" s="5" t="n">
        <v>60</v>
      </c>
      <c r="H36" s="5" t="n">
        <v>0.0024</v>
      </c>
      <c r="I36" s="5" t="n">
        <v>3.63</v>
      </c>
      <c r="J36" s="5" t="n">
        <v>44</v>
      </c>
      <c r="K36" s="5" t="inlineStr">
        <is>
          <t>Palm</t>
        </is>
      </c>
    </row>
    <row r="37">
      <c r="A37" s="5" t="n">
        <v>12</v>
      </c>
      <c r="B37" s="5" t="inlineStr">
        <is>
          <t>Travelers Palm</t>
        </is>
      </c>
      <c r="C37" s="5" t="n">
        <v>7</v>
      </c>
      <c r="D37" s="5" t="n">
        <v>6.1</v>
      </c>
      <c r="E37" s="5" t="inlineStr">
        <is>
          <t>-</t>
        </is>
      </c>
      <c r="F37" s="5" t="n">
        <v>6</v>
      </c>
      <c r="G37" s="5" t="n">
        <v>42</v>
      </c>
      <c r="H37" s="5" t="n">
        <v>0.0017</v>
      </c>
      <c r="I37" s="5" t="n">
        <v>4.36</v>
      </c>
      <c r="J37" s="5" t="n">
        <v>31</v>
      </c>
      <c r="K37" s="5" t="inlineStr">
        <is>
          <t>Palm</t>
        </is>
      </c>
    </row>
    <row r="38">
      <c r="A38" s="5" t="n">
        <v>13</v>
      </c>
      <c r="B38" s="5" t="inlineStr">
        <is>
          <t>Supari (Areca)</t>
        </is>
      </c>
      <c r="C38" s="5" t="n">
        <v>8</v>
      </c>
      <c r="D38" s="5" t="n">
        <v>11.34</v>
      </c>
      <c r="E38" s="5" t="n">
        <v>0.11</v>
      </c>
      <c r="F38" s="5" t="n">
        <v>6</v>
      </c>
      <c r="G38" s="5" t="n">
        <v>48</v>
      </c>
      <c r="H38" s="5" t="n">
        <v>0.0019</v>
      </c>
      <c r="I38" s="5" t="n">
        <v>4.36</v>
      </c>
      <c r="J38" s="5" t="n">
        <v>35</v>
      </c>
      <c r="K38" s="5" t="inlineStr">
        <is>
          <t>Palm</t>
        </is>
      </c>
    </row>
    <row r="39">
      <c r="A39" s="5" t="n">
        <v>14</v>
      </c>
      <c r="B39" s="5" t="inlineStr">
        <is>
          <t>Areka Palm</t>
        </is>
      </c>
      <c r="C39" s="5" t="n">
        <v>2</v>
      </c>
      <c r="D39" s="5" t="n">
        <v>13.72</v>
      </c>
      <c r="E39" s="5" t="inlineStr">
        <is>
          <t>-</t>
        </is>
      </c>
      <c r="F39" s="5" t="n">
        <v>6</v>
      </c>
      <c r="G39" s="5" t="n">
        <v>12</v>
      </c>
      <c r="H39" s="5" t="n">
        <v>0.0005</v>
      </c>
      <c r="I39" s="5" t="n">
        <v>4.36</v>
      </c>
      <c r="J39" s="5" t="n">
        <v>9</v>
      </c>
      <c r="K39" s="5" t="inlineStr">
        <is>
          <t>Palm</t>
        </is>
      </c>
    </row>
    <row r="40">
      <c r="A40" s="5" t="n">
        <v>15</v>
      </c>
      <c r="B40" s="5" t="inlineStr">
        <is>
          <t>Chinch</t>
        </is>
      </c>
      <c r="C40" s="5" t="n">
        <v>62</v>
      </c>
      <c r="D40" s="5" t="n">
        <v>8.1</v>
      </c>
      <c r="E40" s="5" t="n">
        <v>0.34</v>
      </c>
      <c r="F40" s="5" t="n">
        <v>18</v>
      </c>
      <c r="G40" s="5" t="n">
        <v>1116</v>
      </c>
      <c r="H40" s="5" t="n">
        <v>0.045</v>
      </c>
      <c r="I40" s="5" t="n">
        <v>13.09</v>
      </c>
      <c r="J40" s="5" t="n">
        <v>811</v>
      </c>
      <c r="K40" s="5" t="inlineStr">
        <is>
          <t>Medium/ornamental</t>
        </is>
      </c>
    </row>
    <row r="41">
      <c r="A41" s="5" t="n">
        <v>16</v>
      </c>
      <c r="B41" s="5" t="inlineStr">
        <is>
          <t>Tree (unidentified)</t>
        </is>
      </c>
      <c r="C41" s="5" t="n">
        <v>61</v>
      </c>
      <c r="D41" s="5" t="n">
        <v>6.51</v>
      </c>
      <c r="E41" s="5" t="n">
        <v>0.58</v>
      </c>
      <c r="F41" s="5" t="n">
        <v>22</v>
      </c>
      <c r="G41" s="5" t="n">
        <v>1342</v>
      </c>
      <c r="H41" s="5" t="n">
        <v>0.0541</v>
      </c>
      <c r="I41" s="5" t="n">
        <v>15.99</v>
      </c>
      <c r="J41" s="5" t="n">
        <v>976</v>
      </c>
      <c r="K41" s="5" t="inlineStr">
        <is>
          <t>Medium/ornamental</t>
        </is>
      </c>
    </row>
    <row r="42">
      <c r="A42" s="5" t="n">
        <v>17</v>
      </c>
      <c r="B42" s="5" t="inlineStr">
        <is>
          <t>Ashok</t>
        </is>
      </c>
      <c r="C42" s="5" t="n">
        <v>50</v>
      </c>
      <c r="D42" s="5" t="n">
        <v>8.74</v>
      </c>
      <c r="E42" s="5" t="n">
        <v>0.35</v>
      </c>
      <c r="F42" s="5" t="n">
        <v>12</v>
      </c>
      <c r="G42" s="5" t="n">
        <v>600</v>
      </c>
      <c r="H42" s="5" t="n">
        <v>0.0242</v>
      </c>
      <c r="I42" s="5" t="n">
        <v>8.720000000000001</v>
      </c>
      <c r="J42" s="5" t="n">
        <v>436</v>
      </c>
      <c r="K42" s="5" t="inlineStr">
        <is>
          <t>Medium/ornamental</t>
        </is>
      </c>
    </row>
    <row r="43">
      <c r="A43" s="5" t="n">
        <v>18</v>
      </c>
      <c r="B43" s="5" t="inlineStr">
        <is>
          <t>Mango</t>
        </is>
      </c>
      <c r="C43" s="5" t="n">
        <v>30</v>
      </c>
      <c r="D43" s="5" t="n">
        <v>9.56</v>
      </c>
      <c r="E43" s="5" t="n">
        <v>0.43</v>
      </c>
      <c r="F43" s="5" t="n">
        <v>22</v>
      </c>
      <c r="G43" s="5" t="n">
        <v>660</v>
      </c>
      <c r="H43" s="5" t="n">
        <v>0.0266</v>
      </c>
      <c r="I43" s="5" t="n">
        <v>15.99</v>
      </c>
      <c r="J43" s="5" t="n">
        <v>480</v>
      </c>
      <c r="K43" s="5" t="inlineStr">
        <is>
          <t>Medium/ornamental</t>
        </is>
      </c>
    </row>
    <row r="44">
      <c r="A44" s="5" t="n">
        <v>19</v>
      </c>
      <c r="B44" s="5" t="inlineStr">
        <is>
          <t>Sonchafa</t>
        </is>
      </c>
      <c r="C44" s="5" t="n">
        <v>20</v>
      </c>
      <c r="D44" s="5" t="n">
        <v>7.2</v>
      </c>
      <c r="E44" s="5" t="n">
        <v>0.38</v>
      </c>
      <c r="F44" s="5" t="n">
        <v>10</v>
      </c>
      <c r="G44" s="5" t="n">
        <v>200</v>
      </c>
      <c r="H44" s="5" t="n">
        <v>0.0081</v>
      </c>
      <c r="I44" s="5" t="n">
        <v>7.27</v>
      </c>
      <c r="J44" s="5" t="n">
        <v>145</v>
      </c>
      <c r="K44" s="5" t="inlineStr">
        <is>
          <t>Medium/ornamental</t>
        </is>
      </c>
    </row>
    <row r="45">
      <c r="A45" s="5" t="n">
        <v>20</v>
      </c>
      <c r="B45" s="5" t="inlineStr">
        <is>
          <t>Buch</t>
        </is>
      </c>
      <c r="C45" s="5" t="n">
        <v>23</v>
      </c>
      <c r="D45" s="5" t="n">
        <v>13.04</v>
      </c>
      <c r="E45" s="5" t="n">
        <v>0.89</v>
      </c>
      <c r="F45" s="5" t="n">
        <v>25</v>
      </c>
      <c r="G45" s="5" t="n">
        <v>575</v>
      </c>
      <c r="H45" s="5" t="n">
        <v>0.0232</v>
      </c>
      <c r="I45" s="5" t="n">
        <v>18.18</v>
      </c>
      <c r="J45" s="5" t="n">
        <v>418</v>
      </c>
      <c r="K45" s="5" t="inlineStr">
        <is>
          <t>Medium/ornamental</t>
        </is>
      </c>
    </row>
    <row r="46">
      <c r="A46" s="5" t="n">
        <v>21</v>
      </c>
      <c r="B46" s="5" t="inlineStr">
        <is>
          <t>Gulmohar</t>
        </is>
      </c>
      <c r="C46" s="5" t="n">
        <v>17</v>
      </c>
      <c r="D46" s="5" t="n">
        <v>10.8</v>
      </c>
      <c r="E46" s="5" t="n">
        <v>0.68</v>
      </c>
      <c r="F46" s="5" t="n">
        <v>18.5</v>
      </c>
      <c r="G46" s="5" t="n">
        <v>315</v>
      </c>
      <c r="H46" s="5" t="n">
        <v>0.0127</v>
      </c>
      <c r="I46" s="5" t="n">
        <v>13.45</v>
      </c>
      <c r="J46" s="5" t="n">
        <v>229</v>
      </c>
      <c r="K46" s="5" t="inlineStr">
        <is>
          <t>Medium/ornamental</t>
        </is>
      </c>
    </row>
    <row r="47">
      <c r="A47" s="5" t="n">
        <v>22</v>
      </c>
      <c r="B47" s="5" t="inlineStr">
        <is>
          <t>Nilmohar</t>
        </is>
      </c>
      <c r="C47" s="5" t="n">
        <v>11</v>
      </c>
      <c r="D47" s="5" t="n">
        <v>13</v>
      </c>
      <c r="E47" s="5" t="n">
        <v>0.52</v>
      </c>
      <c r="F47" s="5" t="n">
        <v>20</v>
      </c>
      <c r="G47" s="5" t="n">
        <v>220</v>
      </c>
      <c r="H47" s="5" t="n">
        <v>0.0089</v>
      </c>
      <c r="I47" s="5" t="n">
        <v>14.54</v>
      </c>
      <c r="J47" s="5" t="n">
        <v>160</v>
      </c>
      <c r="K47" s="5" t="inlineStr">
        <is>
          <t>Medium/ornamental</t>
        </is>
      </c>
    </row>
    <row r="48">
      <c r="A48" s="5" t="n">
        <v>23</v>
      </c>
      <c r="B48" s="5" t="inlineStr">
        <is>
          <t>Ashoka</t>
        </is>
      </c>
      <c r="C48" s="5" t="n">
        <v>10</v>
      </c>
      <c r="D48" s="5" t="n">
        <v>11.74</v>
      </c>
      <c r="E48" s="5" t="n">
        <v>0.35</v>
      </c>
      <c r="F48" s="5" t="n">
        <v>12</v>
      </c>
      <c r="G48" s="5" t="n">
        <v>120</v>
      </c>
      <c r="H48" s="5" t="n">
        <v>0.0048</v>
      </c>
      <c r="I48" s="5" t="n">
        <v>8.720000000000001</v>
      </c>
      <c r="J48" s="5" t="n">
        <v>87</v>
      </c>
      <c r="K48" s="5" t="inlineStr">
        <is>
          <t>Medium/ornamental</t>
        </is>
      </c>
    </row>
    <row r="49">
      <c r="A49" s="5" t="n">
        <v>24</v>
      </c>
      <c r="B49" s="5" t="inlineStr">
        <is>
          <t>Nilgiri (Eucalyptus)</t>
        </is>
      </c>
      <c r="C49" s="5" t="n">
        <v>2</v>
      </c>
      <c r="D49" s="5" t="n">
        <v>1.98</v>
      </c>
      <c r="E49" s="5" t="inlineStr">
        <is>
          <t>-</t>
        </is>
      </c>
      <c r="F49" s="5" t="n">
        <v>30</v>
      </c>
      <c r="G49" s="5" t="n">
        <v>60</v>
      </c>
      <c r="H49" s="5" t="n">
        <v>0.0024</v>
      </c>
      <c r="I49" s="5" t="n">
        <v>21.81</v>
      </c>
      <c r="J49" s="5" t="n">
        <v>44</v>
      </c>
      <c r="K49" s="5" t="inlineStr">
        <is>
          <t>Medium/ornamental</t>
        </is>
      </c>
    </row>
    <row r="50">
      <c r="A50" s="5" t="n">
        <v>25</v>
      </c>
      <c r="B50" s="5" t="inlineStr">
        <is>
          <t>Bamboo NEW</t>
        </is>
      </c>
      <c r="C50" s="5" t="n">
        <v>2</v>
      </c>
      <c r="D50" s="5" t="n">
        <v>8</v>
      </c>
      <c r="E50" s="5" t="inlineStr">
        <is>
          <t>-</t>
        </is>
      </c>
      <c r="F50" s="5" t="n">
        <v>35</v>
      </c>
      <c r="G50" s="5" t="n">
        <v>70</v>
      </c>
      <c r="H50" s="5" t="n">
        <v>0.0028</v>
      </c>
      <c r="I50" s="5" t="n">
        <v>25.45</v>
      </c>
      <c r="J50" s="5" t="n">
        <v>51</v>
      </c>
      <c r="K50" s="5" t="inlineStr">
        <is>
          <t>Medium/ornamental</t>
        </is>
      </c>
    </row>
    <row r="51">
      <c r="A51" s="5" t="n">
        <v>26</v>
      </c>
      <c r="B51" s="5" t="inlineStr">
        <is>
          <t>Kanchan (Bauhinia)</t>
        </is>
      </c>
      <c r="C51" s="5" t="n">
        <v>5</v>
      </c>
      <c r="D51" s="5" t="n">
        <v>10.74</v>
      </c>
      <c r="E51" s="5" t="n">
        <v>0.6</v>
      </c>
      <c r="F51" s="5" t="n">
        <v>15</v>
      </c>
      <c r="G51" s="5" t="n">
        <v>75</v>
      </c>
      <c r="H51" s="5" t="n">
        <v>0.003</v>
      </c>
      <c r="I51" s="5" t="n">
        <v>10.9</v>
      </c>
      <c r="J51" s="5" t="n">
        <v>55</v>
      </c>
      <c r="K51" s="5" t="inlineStr">
        <is>
          <t>Medium/ornamental</t>
        </is>
      </c>
    </row>
    <row r="52">
      <c r="A52" s="5" t="n">
        <v>27</v>
      </c>
      <c r="B52" s="5" t="inlineStr">
        <is>
          <t>Bahava</t>
        </is>
      </c>
      <c r="C52" s="5" t="n">
        <v>5</v>
      </c>
      <c r="D52" s="5" t="n">
        <v>7.89</v>
      </c>
      <c r="E52" s="5" t="inlineStr">
        <is>
          <t>-</t>
        </is>
      </c>
      <c r="F52" s="5" t="n">
        <v>15</v>
      </c>
      <c r="G52" s="5" t="n">
        <v>75</v>
      </c>
      <c r="H52" s="5" t="n">
        <v>0.003</v>
      </c>
      <c r="I52" s="5" t="n">
        <v>10.9</v>
      </c>
      <c r="J52" s="5" t="n">
        <v>55</v>
      </c>
      <c r="K52" s="5" t="inlineStr">
        <is>
          <t>Medium/ornamental</t>
        </is>
      </c>
    </row>
    <row r="53">
      <c r="A53" s="5" t="n">
        <v>28</v>
      </c>
      <c r="B53" s="5" t="inlineStr">
        <is>
          <t>Akasha</t>
        </is>
      </c>
      <c r="C53" s="5" t="n">
        <v>4</v>
      </c>
      <c r="D53" s="5" t="n">
        <v>11.57</v>
      </c>
      <c r="E53" s="5" t="n">
        <v>0.52</v>
      </c>
      <c r="F53" s="5" t="n">
        <v>15</v>
      </c>
      <c r="G53" s="5" t="n">
        <v>60</v>
      </c>
      <c r="H53" s="5" t="n">
        <v>0.0024</v>
      </c>
      <c r="I53" s="5" t="n">
        <v>10.9</v>
      </c>
      <c r="J53" s="5" t="n">
        <v>44</v>
      </c>
      <c r="K53" s="5" t="inlineStr">
        <is>
          <t>Medium/ornamental</t>
        </is>
      </c>
    </row>
    <row r="54">
      <c r="A54" s="5" t="n">
        <v>29</v>
      </c>
      <c r="B54" s="5" t="inlineStr">
        <is>
          <t>Sankeshwar</t>
        </is>
      </c>
      <c r="C54" s="5" t="n">
        <v>3</v>
      </c>
      <c r="D54" s="5" t="n">
        <v>9.140000000000001</v>
      </c>
      <c r="E54" s="5" t="inlineStr">
        <is>
          <t>-</t>
        </is>
      </c>
      <c r="F54" s="5" t="n">
        <v>15</v>
      </c>
      <c r="G54" s="5" t="n">
        <v>45</v>
      </c>
      <c r="H54" s="5" t="n">
        <v>0.0018</v>
      </c>
      <c r="I54" s="5" t="n">
        <v>10.9</v>
      </c>
      <c r="J54" s="5" t="n">
        <v>33</v>
      </c>
      <c r="K54" s="5" t="inlineStr">
        <is>
          <t>Medium/ornamental</t>
        </is>
      </c>
    </row>
    <row r="55">
      <c r="A55" s="5" t="n">
        <v>30</v>
      </c>
      <c r="B55" s="5" t="inlineStr">
        <is>
          <t>Krisamas</t>
        </is>
      </c>
      <c r="C55" s="5" t="n">
        <v>2</v>
      </c>
      <c r="D55" s="5" t="n">
        <v>16.46</v>
      </c>
      <c r="E55" s="5" t="n">
        <v>0.5</v>
      </c>
      <c r="F55" s="5" t="n">
        <v>20</v>
      </c>
      <c r="G55" s="5" t="n">
        <v>40</v>
      </c>
      <c r="H55" s="5" t="n">
        <v>0.0016</v>
      </c>
      <c r="I55" s="5" t="n">
        <v>14.54</v>
      </c>
      <c r="J55" s="5" t="n">
        <v>29</v>
      </c>
      <c r="K55" s="5" t="inlineStr">
        <is>
          <t>Medium/ornamental</t>
        </is>
      </c>
    </row>
    <row r="56">
      <c r="A56" s="5" t="n">
        <v>31</v>
      </c>
      <c r="B56" s="5" t="inlineStr">
        <is>
          <t>Jambhul (Jamun)</t>
        </is>
      </c>
      <c r="C56" s="5" t="n">
        <v>2</v>
      </c>
      <c r="D56" s="5" t="n">
        <v>7</v>
      </c>
      <c r="E56" s="5" t="inlineStr">
        <is>
          <t>-</t>
        </is>
      </c>
      <c r="F56" s="5" t="n">
        <v>18</v>
      </c>
      <c r="G56" s="5" t="n">
        <v>36</v>
      </c>
      <c r="H56" s="5" t="n">
        <v>0.0015</v>
      </c>
      <c r="I56" s="5" t="n">
        <v>13.09</v>
      </c>
      <c r="J56" s="5" t="n">
        <v>26</v>
      </c>
      <c r="K56" s="5" t="inlineStr">
        <is>
          <t>Medium/ornamental</t>
        </is>
      </c>
    </row>
    <row r="57">
      <c r="A57" s="5" t="n">
        <v>32</v>
      </c>
      <c r="B57" s="5" t="inlineStr">
        <is>
          <t>Chandan (Sandalwood)</t>
        </is>
      </c>
      <c r="C57" s="5" t="n">
        <v>1</v>
      </c>
      <c r="D57" s="5" t="n">
        <v>10.67</v>
      </c>
      <c r="E57" s="5" t="inlineStr">
        <is>
          <t>-</t>
        </is>
      </c>
      <c r="F57" s="5" t="n">
        <v>20</v>
      </c>
      <c r="G57" s="5" t="n">
        <v>20</v>
      </c>
      <c r="H57" s="5" t="n">
        <v>0.0008</v>
      </c>
      <c r="I57" s="5" t="n">
        <v>14.54</v>
      </c>
      <c r="J57" s="5" t="n">
        <v>15</v>
      </c>
      <c r="K57" s="5" t="inlineStr">
        <is>
          <t>Medium/ornamental</t>
        </is>
      </c>
    </row>
    <row r="58">
      <c r="A58" s="5" t="n">
        <v>33</v>
      </c>
      <c r="B58" s="5" t="inlineStr">
        <is>
          <t>Chafa (Michelia)</t>
        </is>
      </c>
      <c r="C58" s="5" t="n">
        <v>1</v>
      </c>
      <c r="D58" s="5" t="n">
        <v>10.67</v>
      </c>
      <c r="E58" s="5" t="n">
        <v>0.46</v>
      </c>
      <c r="F58" s="5" t="n">
        <v>15</v>
      </c>
      <c r="G58" s="5" t="n">
        <v>15</v>
      </c>
      <c r="H58" s="5" t="n">
        <v>0.0005999999999999999</v>
      </c>
      <c r="I58" s="5" t="n">
        <v>10.9</v>
      </c>
      <c r="J58" s="5" t="n">
        <v>11</v>
      </c>
      <c r="K58" s="5" t="inlineStr">
        <is>
          <t>Medium/ornamental</t>
        </is>
      </c>
    </row>
    <row r="59">
      <c r="A59" s="5" t="n">
        <v>34</v>
      </c>
      <c r="B59" s="5" t="inlineStr">
        <is>
          <t>Jayaphala</t>
        </is>
      </c>
      <c r="C59" s="5" t="n">
        <v>1</v>
      </c>
      <c r="D59" s="5" t="n">
        <v>5.49</v>
      </c>
      <c r="E59" s="5" t="n">
        <v>0.33</v>
      </c>
      <c r="F59" s="5" t="n">
        <v>8</v>
      </c>
      <c r="G59" s="5" t="n">
        <v>8</v>
      </c>
      <c r="H59" s="5" t="n">
        <v>0.0003</v>
      </c>
      <c r="I59" s="5" t="n">
        <v>5.82</v>
      </c>
      <c r="J59" s="5" t="n">
        <v>6</v>
      </c>
      <c r="K59" s="5" t="inlineStr">
        <is>
          <t>Medium/ornamental</t>
        </is>
      </c>
    </row>
    <row r="60">
      <c r="A60" s="5" t="n">
        <v>35</v>
      </c>
      <c r="B60" s="5" t="inlineStr">
        <is>
          <t>Cycas</t>
        </is>
      </c>
      <c r="C60" s="5" t="n">
        <v>1</v>
      </c>
      <c r="D60" s="5" t="n">
        <v>12.8</v>
      </c>
      <c r="E60" s="5" t="n">
        <v>0.39</v>
      </c>
      <c r="F60" s="5" t="n">
        <v>4</v>
      </c>
      <c r="G60" s="5" t="n">
        <v>4</v>
      </c>
      <c r="H60" s="5" t="n">
        <v>0.0002</v>
      </c>
      <c r="I60" s="5" t="n">
        <v>2.91</v>
      </c>
      <c r="J60" s="5" t="n">
        <v>3</v>
      </c>
      <c r="K60" s="5" t="inlineStr">
        <is>
          <t>Medium/ornamental</t>
        </is>
      </c>
    </row>
    <row r="61">
      <c r="A61" s="5" t="n">
        <v>36</v>
      </c>
      <c r="B61" s="5" t="inlineStr">
        <is>
          <t>Shevga (Moringa)</t>
        </is>
      </c>
      <c r="C61" s="5" t="n">
        <v>3</v>
      </c>
      <c r="D61" s="5" t="n">
        <v>3.93</v>
      </c>
      <c r="E61" s="5" t="n">
        <v>0.46</v>
      </c>
      <c r="F61" s="5" t="n">
        <v>8</v>
      </c>
      <c r="G61" s="5" t="n">
        <v>24</v>
      </c>
      <c r="H61" s="5" t="n">
        <v>0.001</v>
      </c>
      <c r="I61" s="5" t="n">
        <v>5.82</v>
      </c>
      <c r="J61" s="5" t="n">
        <v>17</v>
      </c>
      <c r="K61" s="5" t="inlineStr">
        <is>
          <t>Fruit</t>
        </is>
      </c>
    </row>
    <row r="62">
      <c r="A62" s="5" t="n">
        <v>37</v>
      </c>
      <c r="B62" s="5" t="inlineStr">
        <is>
          <t>Tej Patta (Bay Leaf)</t>
        </is>
      </c>
      <c r="C62" s="5" t="n">
        <v>4</v>
      </c>
      <c r="D62" s="5" t="n">
        <v>7.62</v>
      </c>
      <c r="E62" s="5" t="inlineStr">
        <is>
          <t>-</t>
        </is>
      </c>
      <c r="F62" s="5" t="n">
        <v>8</v>
      </c>
      <c r="G62" s="5" t="n">
        <v>32</v>
      </c>
      <c r="H62" s="5" t="n">
        <v>0.0013</v>
      </c>
      <c r="I62" s="5" t="n">
        <v>5.82</v>
      </c>
      <c r="J62" s="5" t="n">
        <v>23</v>
      </c>
      <c r="K62" s="5" t="inlineStr">
        <is>
          <t>Fruit</t>
        </is>
      </c>
    </row>
    <row r="63">
      <c r="A63" s="5" t="n">
        <v>38</v>
      </c>
      <c r="B63" s="5" t="inlineStr">
        <is>
          <t>Peru (Guava)</t>
        </is>
      </c>
      <c r="C63" s="5" t="n">
        <v>2</v>
      </c>
      <c r="D63" s="5" t="n">
        <v>3.27</v>
      </c>
      <c r="E63" s="5" t="inlineStr">
        <is>
          <t>-</t>
        </is>
      </c>
      <c r="F63" s="5" t="n">
        <v>8</v>
      </c>
      <c r="G63" s="5" t="n">
        <v>16</v>
      </c>
      <c r="H63" s="5" t="n">
        <v>0.0005999999999999999</v>
      </c>
      <c r="I63" s="5" t="n">
        <v>5.82</v>
      </c>
      <c r="J63" s="5" t="n">
        <v>12</v>
      </c>
      <c r="K63" s="5" t="inlineStr">
        <is>
          <t>Fruit</t>
        </is>
      </c>
    </row>
    <row r="64">
      <c r="A64" s="5" t="n">
        <v>39</v>
      </c>
      <c r="B64" s="5" t="inlineStr">
        <is>
          <t>Coffee</t>
        </is>
      </c>
      <c r="C64" s="5" t="n">
        <v>19</v>
      </c>
      <c r="D64" s="5" t="n">
        <v>3.85</v>
      </c>
      <c r="E64" s="5" t="n">
        <v>0.41</v>
      </c>
      <c r="F64" s="5" t="n">
        <v>4.5</v>
      </c>
      <c r="G64" s="5" t="n">
        <v>86</v>
      </c>
      <c r="H64" s="5" t="n">
        <v>0.0035</v>
      </c>
      <c r="I64" s="5" t="n">
        <v>3.27</v>
      </c>
      <c r="J64" s="5" t="n">
        <v>62</v>
      </c>
      <c r="K64" s="5" t="inlineStr">
        <is>
          <t>Shrub</t>
        </is>
      </c>
    </row>
    <row r="65">
      <c r="A65" s="5" t="n">
        <v>40</v>
      </c>
      <c r="B65" s="5" t="inlineStr">
        <is>
          <t>Hirda</t>
        </is>
      </c>
      <c r="C65" s="5" t="n">
        <v>8</v>
      </c>
      <c r="D65" s="5" t="n">
        <v>1.45</v>
      </c>
      <c r="E65" s="5" t="inlineStr">
        <is>
          <t>-</t>
        </is>
      </c>
      <c r="F65" s="5" t="n">
        <v>3.5</v>
      </c>
      <c r="G65" s="5" t="n">
        <v>28</v>
      </c>
      <c r="H65" s="5" t="n">
        <v>0.0011</v>
      </c>
      <c r="I65" s="5" t="n">
        <v>2.54</v>
      </c>
      <c r="J65" s="5" t="n">
        <v>20</v>
      </c>
      <c r="K65" s="5" t="inlineStr">
        <is>
          <t>Shrub</t>
        </is>
      </c>
    </row>
    <row r="66">
      <c r="A66" s="5" t="n">
        <v>41</v>
      </c>
      <c r="B66" s="5" t="inlineStr">
        <is>
          <t>Badam (Indian Almond)</t>
        </is>
      </c>
      <c r="C66" s="5" t="n">
        <v>4</v>
      </c>
      <c r="D66" s="5" t="n">
        <v>2.73</v>
      </c>
      <c r="E66" s="5" t="inlineStr">
        <is>
          <t>-</t>
        </is>
      </c>
      <c r="F66" s="5" t="n">
        <v>8</v>
      </c>
      <c r="G66" s="5" t="n">
        <v>32</v>
      </c>
      <c r="H66" s="5" t="n">
        <v>0.0013</v>
      </c>
      <c r="I66" s="5" t="n">
        <v>5.82</v>
      </c>
      <c r="J66" s="5" t="n">
        <v>23</v>
      </c>
      <c r="K66" s="5" t="inlineStr">
        <is>
          <t>Shrub</t>
        </is>
      </c>
    </row>
    <row r="67">
      <c r="A67" s="5" t="n">
        <v>42</v>
      </c>
      <c r="B67" s="5" t="inlineStr">
        <is>
          <t>Aawla (Amla)</t>
        </is>
      </c>
      <c r="C67" s="5" t="n">
        <v>3</v>
      </c>
      <c r="D67" s="5" t="n">
        <v>1.52</v>
      </c>
      <c r="E67" s="5" t="inlineStr">
        <is>
          <t>-</t>
        </is>
      </c>
      <c r="F67" s="5" t="n">
        <v>3.5</v>
      </c>
      <c r="G67" s="5" t="n">
        <v>11</v>
      </c>
      <c r="H67" s="5" t="n">
        <v>0.0004</v>
      </c>
      <c r="I67" s="5" t="n">
        <v>2.54</v>
      </c>
      <c r="J67" s="5" t="n">
        <v>8</v>
      </c>
      <c r="K67" s="5" t="inlineStr">
        <is>
          <t>Shrub</t>
        </is>
      </c>
    </row>
    <row r="68">
      <c r="A68" s="5" t="n">
        <v>43</v>
      </c>
      <c r="B68" s="5" t="inlineStr">
        <is>
          <t>WAD</t>
        </is>
      </c>
      <c r="C68" s="5" t="n">
        <v>1</v>
      </c>
      <c r="D68" s="5" t="n">
        <v>1.83</v>
      </c>
      <c r="E68" s="5" t="inlineStr">
        <is>
          <t>-</t>
        </is>
      </c>
      <c r="F68" s="5" t="n">
        <v>3</v>
      </c>
      <c r="G68" s="5" t="n">
        <v>3</v>
      </c>
      <c r="H68" s="5" t="n">
        <v>0.0001</v>
      </c>
      <c r="I68" s="5" t="n">
        <v>2.18</v>
      </c>
      <c r="J68" s="5" t="n">
        <v>2</v>
      </c>
      <c r="K68" s="5" t="inlineStr">
        <is>
          <t>Shrub</t>
        </is>
      </c>
    </row>
    <row r="69">
      <c r="A69" s="5" t="n">
        <v>44</v>
      </c>
      <c r="B69" s="5" t="inlineStr">
        <is>
          <t>Raktchandan</t>
        </is>
      </c>
      <c r="C69" s="5" t="n">
        <v>1</v>
      </c>
      <c r="D69" s="5" t="n">
        <v>1.22</v>
      </c>
      <c r="E69" s="5" t="inlineStr">
        <is>
          <t>-</t>
        </is>
      </c>
      <c r="F69" s="5" t="n">
        <v>5</v>
      </c>
      <c r="G69" s="5" t="n">
        <v>5</v>
      </c>
      <c r="H69" s="5" t="n">
        <v>0.0002</v>
      </c>
      <c r="I69" s="5" t="n">
        <v>3.63</v>
      </c>
      <c r="J69" s="5" t="n">
        <v>4</v>
      </c>
      <c r="K69" s="5" t="inlineStr">
        <is>
          <t>Shrub</t>
        </is>
      </c>
    </row>
    <row r="71">
      <c r="A71" s="7" t="inlineStr">
        <is>
          <t>Subtotals: Large canopy 382 trees/15,644 kg (63.13%); Palm 296/3,252 (13.12%); Medium-ornamental 322/5,726 (23.11%); Fruit 9/72 (0.29%); Shrub 36/119 (0.66%). Reported as removal; NOT netted against gross emissions (GHG Protocol Land Sector guidance).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10" customWidth="1" min="3" max="3"/>
    <col width="46" customWidth="1" min="4" max="4"/>
  </cols>
  <sheetData>
    <row r="1">
      <c r="A1" s="1" t="inlineStr">
        <is>
          <t>Campus Area, Built-up Area &amp; Infrastructure</t>
        </is>
      </c>
    </row>
    <row r="3">
      <c r="A3" s="4" t="inlineStr">
        <is>
          <t>Parameter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Source/Status</t>
        </is>
      </c>
    </row>
    <row r="4">
      <c r="A4" s="5" t="inlineStr">
        <is>
          <t>Total plot/campus area</t>
        </is>
      </c>
      <c r="B4" s="5" t="n">
        <v>75080.07000000001</v>
      </c>
      <c r="C4" s="5" t="inlineStr">
        <is>
          <t>m2</t>
        </is>
      </c>
      <c r="D4" s="5" t="inlineStr">
        <is>
          <t>Campus plan 1:1000, 11 Feb 2026 (incl. wall thickness)</t>
        </is>
      </c>
    </row>
    <row r="5">
      <c r="A5" s="5" t="inlineStr">
        <is>
          <t>— equivalent</t>
        </is>
      </c>
      <c r="B5" s="5" t="n">
        <v>18.55</v>
      </c>
      <c r="C5" s="5" t="inlineStr">
        <is>
          <t>acres</t>
        </is>
      </c>
      <c r="D5" s="5" t="inlineStr"/>
    </row>
    <row r="6">
      <c r="A6" s="5" t="inlineStr">
        <is>
          <t>Ground area</t>
        </is>
      </c>
      <c r="B6" s="5" t="n">
        <v>16580.31</v>
      </c>
      <c r="C6" s="5" t="inlineStr">
        <is>
          <t>m2</t>
        </is>
      </c>
      <c r="D6" s="5" t="inlineStr">
        <is>
          <t>Campus plan (separate parameter)</t>
        </is>
      </c>
    </row>
    <row r="7">
      <c r="A7" s="5" t="inlineStr">
        <is>
          <t>— equivalent</t>
        </is>
      </c>
      <c r="B7" s="5" t="inlineStr">
        <is>
          <t>≈4.10</t>
        </is>
      </c>
      <c r="C7" s="5" t="inlineStr">
        <is>
          <t>acres</t>
        </is>
      </c>
      <c r="D7" s="5" t="inlineStr"/>
    </row>
    <row r="8">
      <c r="A8" s="5" t="inlineStr">
        <is>
          <t>Institute built-up area (Admission Brochure 2024–25)</t>
        </is>
      </c>
      <c r="B8" s="5" t="n">
        <v>42125.27</v>
      </c>
      <c r="C8" s="5" t="inlineStr">
        <is>
          <t>m2</t>
        </is>
      </c>
      <c r="D8" s="5" t="inlineStr">
        <is>
          <t>Sum of facility areas below</t>
        </is>
      </c>
    </row>
    <row r="9">
      <c r="A9" s="5" t="inlineStr">
        <is>
          <t>Green cover area</t>
        </is>
      </c>
      <c r="B9" s="5" t="n">
        <v>51700</v>
      </c>
      <c r="C9" s="5" t="inlineStr">
        <is>
          <t>m2</t>
        </is>
      </c>
      <c r="D9" s="5" t="inlineStr">
        <is>
          <t>Not re-verified vs new plan</t>
        </is>
      </c>
    </row>
    <row r="11">
      <c r="A11" s="4" t="inlineStr">
        <is>
          <t>Facility</t>
        </is>
      </c>
      <c r="B11" s="4" t="inlineStr">
        <is>
          <t>Built-up Area (m2)</t>
        </is>
      </c>
    </row>
    <row r="12">
      <c r="A12" s="5" t="inlineStr">
        <is>
          <t>Institute Building</t>
        </is>
      </c>
      <c r="B12" s="5" t="n">
        <v>32199.77</v>
      </c>
    </row>
    <row r="13">
      <c r="A13" s="5" t="inlineStr">
        <is>
          <t>Hostel &amp; Mess</t>
        </is>
      </c>
      <c r="B13" s="5" t="n">
        <v>6780.41</v>
      </c>
    </row>
    <row r="14">
      <c r="A14" s="5" t="inlineStr">
        <is>
          <t>Principal Quarter</t>
        </is>
      </c>
      <c r="B14" s="5" t="n">
        <v>112.5</v>
      </c>
    </row>
    <row r="15">
      <c r="A15" s="5" t="inlineStr">
        <is>
          <t>Guest House</t>
        </is>
      </c>
      <c r="B15" s="5" t="n">
        <v>719.59</v>
      </c>
    </row>
    <row r="16">
      <c r="A16" s="5" t="inlineStr">
        <is>
          <t>Co-operative Stores</t>
        </is>
      </c>
      <c r="B16" s="5" t="n">
        <v>250</v>
      </c>
    </row>
    <row r="17">
      <c r="A17" s="5" t="inlineStr">
        <is>
          <t>Gymnasium</t>
        </is>
      </c>
      <c r="B17" s="5" t="n">
        <v>567</v>
      </c>
    </row>
    <row r="18">
      <c r="A18" s="5" t="inlineStr">
        <is>
          <t>Canteen</t>
        </is>
      </c>
      <c r="B18" s="5" t="n">
        <v>150</v>
      </c>
    </row>
    <row r="19">
      <c r="A19" s="5" t="inlineStr">
        <is>
          <t>Workshop</t>
        </is>
      </c>
      <c r="B19" s="5" t="n">
        <v>1076</v>
      </c>
    </row>
    <row r="20">
      <c r="A20" s="5" t="inlineStr">
        <is>
          <t>ACC Roof Building</t>
        </is>
      </c>
      <c r="B20" s="5" t="n">
        <v>270</v>
      </c>
    </row>
    <row r="21">
      <c r="A21" s="6" t="inlineStr">
        <is>
          <t>TOTAL</t>
        </is>
      </c>
      <c r="B21" s="6" t="n">
        <v>42125.27</v>
      </c>
    </row>
    <row r="23">
      <c r="A23" s="4" t="inlineStr">
        <is>
          <t>Infrastructure identified in campus plan</t>
        </is>
      </c>
      <c r="B23" s="4" t="inlineStr">
        <is>
          <t>Category</t>
        </is>
      </c>
    </row>
    <row r="24">
      <c r="A24" s="5" t="inlineStr">
        <is>
          <t>Engineering / Pharmacy / Polytechnic Colleges</t>
        </is>
      </c>
      <c r="B24" s="5" t="inlineStr">
        <is>
          <t>Academic</t>
        </is>
      </c>
    </row>
    <row r="25">
      <c r="A25" s="5" t="inlineStr">
        <is>
          <t>Boys' &amp; Girls' Hostel, Guest House, Canteen</t>
        </is>
      </c>
      <c r="B25" s="5" t="inlineStr">
        <is>
          <t>Residential/services</t>
        </is>
      </c>
    </row>
    <row r="26">
      <c r="A26" s="5" t="inlineStr">
        <is>
          <t>Parking, internal roads</t>
        </is>
      </c>
      <c r="B26" s="5" t="inlineStr">
        <is>
          <t>Circulation</t>
        </is>
      </c>
    </row>
    <row r="27">
      <c r="A27" s="5" t="inlineStr">
        <is>
          <t>Cricket pitch + practice, basketball, tennis, volleyball courts, open gym</t>
        </is>
      </c>
      <c r="B27" s="5" t="inlineStr">
        <is>
          <t>Sports</t>
        </is>
      </c>
    </row>
    <row r="28">
      <c r="A28" s="5" t="inlineStr">
        <is>
          <t>Gardens/landscaped areas</t>
        </is>
      </c>
      <c r="B28" s="5" t="inlineStr">
        <is>
          <t>Landscape</t>
        </is>
      </c>
    </row>
    <row r="29">
      <c r="A29" s="5" t="inlineStr">
        <is>
          <t>Borewells, underground tanks, septic tanks, water filter, rainwater drainage, sewage/storm chambers</t>
        </is>
      </c>
      <c r="B29" s="5" t="inlineStr">
        <is>
          <t>Water/wastewater</t>
        </is>
      </c>
    </row>
    <row r="30">
      <c r="A30" s="5" t="inlineStr">
        <is>
          <t>Fire-fighting, electrical, security</t>
        </is>
      </c>
      <c r="B30" s="5" t="inlineStr">
        <is>
          <t>Safety/utilities</t>
        </is>
      </c>
    </row>
    <row r="31">
      <c r="A31" s="5" t="inlineStr">
        <is>
          <t>Biocomposting machine shed</t>
        </is>
      </c>
      <c r="B31" s="5" t="inlineStr">
        <is>
          <t>Waste management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8" customWidth="1" min="5" max="5"/>
    <col width="10" customWidth="1" min="6" max="6"/>
  </cols>
  <sheetData>
    <row r="1">
      <c r="A1" s="1" t="inlineStr">
        <is>
          <t>Vehicle Parking Survey (3 Days, April 2026)</t>
        </is>
      </c>
    </row>
    <row r="3">
      <c r="A3" s="4" t="inlineStr">
        <is>
          <t>Date</t>
        </is>
      </c>
      <c r="B3" s="4" t="inlineStr">
        <is>
          <t>Parking</t>
        </is>
      </c>
      <c r="C3" s="4" t="inlineStr">
        <is>
          <t>Category</t>
        </is>
      </c>
      <c r="D3" s="4" t="inlineStr">
        <is>
          <t>Petrol</t>
        </is>
      </c>
      <c r="E3" s="4" t="inlineStr">
        <is>
          <t>EV</t>
        </is>
      </c>
      <c r="F3" s="4" t="inlineStr">
        <is>
          <t>Total</t>
        </is>
      </c>
    </row>
    <row r="4">
      <c r="A4" s="5" t="inlineStr">
        <is>
          <t>08/04/2026 (Wed)</t>
        </is>
      </c>
      <c r="B4" s="5" t="inlineStr">
        <is>
          <t>Outside</t>
        </is>
      </c>
      <c r="C4" s="5" t="inlineStr">
        <is>
          <t>2-Wheeler</t>
        </is>
      </c>
      <c r="D4" s="5" t="n">
        <v>891</v>
      </c>
      <c r="E4" s="5" t="n">
        <v>78</v>
      </c>
      <c r="F4" s="5" t="n">
        <v>969</v>
      </c>
    </row>
    <row r="5">
      <c r="A5" s="5" t="inlineStr"/>
      <c r="B5" s="5" t="inlineStr">
        <is>
          <t>Outside</t>
        </is>
      </c>
      <c r="C5" s="5" t="inlineStr">
        <is>
          <t>4-Wheeler</t>
        </is>
      </c>
      <c r="D5" s="5" t="n">
        <v>12</v>
      </c>
      <c r="E5" s="5" t="n">
        <v>0</v>
      </c>
      <c r="F5" s="5" t="n">
        <v>12</v>
      </c>
    </row>
    <row r="6">
      <c r="A6" s="5" t="inlineStr"/>
      <c r="B6" s="5" t="inlineStr">
        <is>
          <t>Inside</t>
        </is>
      </c>
      <c r="C6" s="5" t="inlineStr">
        <is>
          <t>2-Wheeler</t>
        </is>
      </c>
      <c r="D6" s="5" t="n">
        <v>260</v>
      </c>
      <c r="E6" s="5" t="n">
        <v>16</v>
      </c>
      <c r="F6" s="5" t="n">
        <v>276</v>
      </c>
    </row>
    <row r="7">
      <c r="A7" s="5" t="inlineStr"/>
      <c r="B7" s="5" t="inlineStr">
        <is>
          <t>Inside</t>
        </is>
      </c>
      <c r="C7" s="5" t="inlineStr">
        <is>
          <t>4-Wheeler</t>
        </is>
      </c>
      <c r="D7" s="5" t="n">
        <v>67</v>
      </c>
      <c r="E7" s="5" t="n">
        <v>0</v>
      </c>
      <c r="F7" s="5" t="n">
        <v>67</v>
      </c>
    </row>
    <row r="8">
      <c r="A8" s="5" t="inlineStr">
        <is>
          <t>09/04/2026 (Thu)</t>
        </is>
      </c>
      <c r="B8" s="5" t="inlineStr">
        <is>
          <t>Outside</t>
        </is>
      </c>
      <c r="C8" s="5" t="inlineStr">
        <is>
          <t>2-Wheeler</t>
        </is>
      </c>
      <c r="D8" s="5" t="n">
        <v>780</v>
      </c>
      <c r="E8" s="5" t="n">
        <v>58</v>
      </c>
      <c r="F8" s="5" t="n">
        <v>838</v>
      </c>
    </row>
    <row r="9">
      <c r="A9" s="5" t="inlineStr"/>
      <c r="B9" s="5" t="inlineStr">
        <is>
          <t>Outside</t>
        </is>
      </c>
      <c r="C9" s="5" t="inlineStr">
        <is>
          <t>4-Wheeler</t>
        </is>
      </c>
      <c r="D9" s="5" t="n">
        <v>14</v>
      </c>
      <c r="E9" s="5" t="n">
        <v>0</v>
      </c>
      <c r="F9" s="5" t="n">
        <v>14</v>
      </c>
    </row>
    <row r="10">
      <c r="A10" s="5" t="inlineStr"/>
      <c r="B10" s="5" t="inlineStr">
        <is>
          <t>Inside</t>
        </is>
      </c>
      <c r="C10" s="5" t="inlineStr">
        <is>
          <t>2-Wheeler</t>
        </is>
      </c>
      <c r="D10" s="5" t="n">
        <v>226</v>
      </c>
      <c r="E10" s="5" t="n">
        <v>14</v>
      </c>
      <c r="F10" s="5" t="n">
        <v>240</v>
      </c>
    </row>
    <row r="11">
      <c r="A11" s="5" t="inlineStr"/>
      <c r="B11" s="5" t="inlineStr">
        <is>
          <t>Inside</t>
        </is>
      </c>
      <c r="C11" s="5" t="inlineStr">
        <is>
          <t>4-Wheeler</t>
        </is>
      </c>
      <c r="D11" s="5" t="n">
        <v>52</v>
      </c>
      <c r="E11" s="5" t="n">
        <v>0</v>
      </c>
      <c r="F11" s="5" t="n">
        <v>52</v>
      </c>
    </row>
    <row r="12">
      <c r="A12" s="5" t="inlineStr">
        <is>
          <t>13/04/2026 (Mon)</t>
        </is>
      </c>
      <c r="B12" s="5" t="inlineStr">
        <is>
          <t>Outside</t>
        </is>
      </c>
      <c r="C12" s="5" t="inlineStr">
        <is>
          <t>2-Wheeler</t>
        </is>
      </c>
      <c r="D12" s="5" t="n">
        <v>896</v>
      </c>
      <c r="E12" s="5" t="n">
        <v>80</v>
      </c>
      <c r="F12" s="5" t="n">
        <v>976</v>
      </c>
    </row>
    <row r="13">
      <c r="A13" s="5" t="inlineStr"/>
      <c r="B13" s="5" t="inlineStr">
        <is>
          <t>Outside</t>
        </is>
      </c>
      <c r="C13" s="5" t="inlineStr">
        <is>
          <t>4-Wheeler</t>
        </is>
      </c>
      <c r="D13" s="5" t="n">
        <v>11</v>
      </c>
      <c r="E13" s="5" t="n">
        <v>0</v>
      </c>
      <c r="F13" s="5" t="n">
        <v>11</v>
      </c>
    </row>
    <row r="14">
      <c r="A14" s="5" t="inlineStr"/>
      <c r="B14" s="5" t="inlineStr">
        <is>
          <t>Inside</t>
        </is>
      </c>
      <c r="C14" s="5" t="inlineStr">
        <is>
          <t>2-Wheeler</t>
        </is>
      </c>
      <c r="D14" s="5" t="n">
        <v>256</v>
      </c>
      <c r="E14" s="5" t="n">
        <v>14</v>
      </c>
      <c r="F14" s="5" t="n">
        <v>270</v>
      </c>
    </row>
    <row r="15">
      <c r="A15" s="5" t="inlineStr"/>
      <c r="B15" s="5" t="inlineStr">
        <is>
          <t>Inside</t>
        </is>
      </c>
      <c r="C15" s="5" t="inlineStr">
        <is>
          <t>4-Wheeler</t>
        </is>
      </c>
      <c r="D15" s="5" t="n">
        <v>69</v>
      </c>
      <c r="E15" s="5" t="n">
        <v>0</v>
      </c>
      <c r="F15" s="5" t="n">
        <v>69</v>
      </c>
    </row>
    <row r="17">
      <c r="A17" s="7" t="inlineStr">
        <is>
          <t>EV 2-wheelers: 58–80/day vs petrol 780–896/day. Reference populations (xlsx assumptions): students kkwieer 1030 / pharmacy 110 / poly 40; teachers 75/30/35.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52" customWidth="1" min="4" max="4"/>
  </cols>
  <sheetData>
    <row r="1">
      <c r="A1" s="1" t="inlineStr">
        <is>
          <t>Emission Factors Reference Table</t>
        </is>
      </c>
    </row>
    <row r="3">
      <c r="A3" s="4" t="inlineStr">
        <is>
          <t>Source</t>
        </is>
      </c>
      <c r="B3" s="4" t="inlineStr">
        <is>
          <t>Unit</t>
        </is>
      </c>
      <c r="C3" s="4" t="inlineStr">
        <is>
          <t>EF</t>
        </is>
      </c>
      <c r="D3" s="4" t="inlineStr">
        <is>
          <t>Reference</t>
        </is>
      </c>
    </row>
    <row r="4">
      <c r="A4" s="5" t="inlineStr">
        <is>
          <t>Grid electricity (India)</t>
        </is>
      </c>
      <c r="B4" s="5" t="inlineStr">
        <is>
          <t>kWh</t>
        </is>
      </c>
      <c r="C4" s="5" t="n">
        <v>0.71</v>
      </c>
      <c r="D4" s="5" t="inlineStr">
        <is>
          <t>CEA CO2 Baseline DB User Guide V21.0, Nov 2025</t>
        </is>
      </c>
    </row>
    <row r="5">
      <c r="A5" s="5" t="inlineStr">
        <is>
          <t>Diesel, stationary DG</t>
        </is>
      </c>
      <c r="B5" s="5" t="inlineStr">
        <is>
          <t>L</t>
        </is>
      </c>
      <c r="C5" s="5" t="n">
        <v>2.89</v>
      </c>
      <c r="D5" s="5" t="inlineStr">
        <is>
          <t>CEA V20.0 Dec 2024, App-B (liquid fuel oil)</t>
        </is>
      </c>
    </row>
    <row r="6">
      <c r="A6" s="5" t="inlineStr">
        <is>
          <t>Diesel, mobile (bus fleet)</t>
        </is>
      </c>
      <c r="B6" s="5" t="inlineStr">
        <is>
          <t>L</t>
        </is>
      </c>
      <c r="C6" s="5" t="n">
        <v>2.68</v>
      </c>
      <c r="D6" s="5" t="inlineStr">
        <is>
          <t>Derived: IPCC 74,100 kgCO2/TJ × NCV 43 MJ/kg × 0.84 kg/L (IS 1460)</t>
        </is>
      </c>
    </row>
    <row r="7">
      <c r="A7" s="5" t="inlineStr">
        <is>
          <t>Diesel passenger vehicle</t>
        </is>
      </c>
      <c r="B7" s="5" t="inlineStr">
        <is>
          <t>km</t>
        </is>
      </c>
      <c r="C7" s="5" t="n">
        <v>0.171</v>
      </c>
      <c r="D7" s="5" t="inlineStr">
        <is>
          <t>DEFRA 2024</t>
        </is>
      </c>
    </row>
    <row r="8">
      <c r="A8" s="5" t="inlineStr">
        <is>
          <t>Third-party bus, organised visits</t>
        </is>
      </c>
      <c r="B8" s="5" t="inlineStr">
        <is>
          <t>pass-km</t>
        </is>
      </c>
      <c r="C8" s="5" t="n">
        <v>0.015161</v>
      </c>
      <c r="D8" s="5" t="inlineStr">
        <is>
          <t>WRI India GHG Program 2015 (intracity)</t>
        </is>
      </c>
    </row>
    <row r="9">
      <c r="A9" s="5" t="inlineStr">
        <is>
          <t>Two-wheeler</t>
        </is>
      </c>
      <c r="B9" s="5" t="inlineStr">
        <is>
          <t>km</t>
        </is>
      </c>
      <c r="C9" s="5" t="n">
        <v>0.03743</v>
      </c>
      <c r="D9" s="5" t="inlineStr">
        <is>
          <t>India GHG Program (mean of 6 class values)</t>
        </is>
      </c>
    </row>
    <row r="10">
      <c r="A10" s="5" t="inlineStr">
        <is>
          <t>Auto/Cab proxy</t>
        </is>
      </c>
      <c r="B10" s="5" t="inlineStr">
        <is>
          <t>vehicle-km</t>
        </is>
      </c>
      <c r="C10" s="5" t="n">
        <v>0.11779</v>
      </c>
      <c r="D10" s="5" t="inlineStr">
        <is>
          <t>India GHG Program 3-wheeler mean</t>
        </is>
      </c>
    </row>
    <row r="11">
      <c r="A11" s="5" t="inlineStr">
        <is>
          <t>Car proxy</t>
        </is>
      </c>
      <c r="B11" s="5" t="inlineStr">
        <is>
          <t>vehicle-km</t>
        </is>
      </c>
      <c r="C11" s="5" t="n">
        <v>0.17221</v>
      </c>
      <c r="D11" s="5" t="inlineStr">
        <is>
          <t>India GHG Program 6-class mean</t>
        </is>
      </c>
    </row>
    <row r="12">
      <c r="A12" s="5" t="inlineStr">
        <is>
          <t>GWP CH4 non-fossil (AR6)</t>
        </is>
      </c>
      <c r="B12" s="5" t="inlineStr">
        <is>
          <t>—</t>
        </is>
      </c>
      <c r="C12" s="5" t="n">
        <v>27</v>
      </c>
      <c r="D12" s="5" t="inlineStr">
        <is>
          <t>GHG Protocol GWP table Aug 2024</t>
        </is>
      </c>
    </row>
    <row r="13">
      <c r="A13" s="5" t="inlineStr">
        <is>
          <t>GWP N2O (AR6)</t>
        </is>
      </c>
      <c r="B13" s="5" t="inlineStr">
        <is>
          <t>—</t>
        </is>
      </c>
      <c r="C13" s="5" t="n">
        <v>273</v>
      </c>
      <c r="D13" s="5" t="inlineStr">
        <is>
          <t>GHG Protocol GWP table Aug 2024</t>
        </is>
      </c>
    </row>
    <row r="14">
      <c r="A14" s="5" t="inlineStr">
        <is>
          <t>GWP R32 (AR6)</t>
        </is>
      </c>
      <c r="B14" s="5" t="inlineStr">
        <is>
          <t>—</t>
        </is>
      </c>
      <c r="C14" s="5" t="n">
        <v>771</v>
      </c>
      <c r="D14" s="5" t="inlineStr">
        <is>
          <t>IPCC AR6</t>
        </is>
      </c>
    </row>
    <row r="15">
      <c r="A15" s="5" t="inlineStr">
        <is>
          <t>Landfilled food/organic waste</t>
        </is>
      </c>
      <c r="B15" s="5" t="inlineStr">
        <is>
          <t>kg</t>
        </is>
      </c>
      <c r="C15" s="5" t="n">
        <v>1.9</v>
      </c>
      <c r="D15" s="5" t="inlineStr">
        <is>
          <t>IPCC 2006 Vol.5</t>
        </is>
      </c>
    </row>
    <row r="16">
      <c r="A16" s="5" t="inlineStr">
        <is>
          <t>Composted food/organic waste</t>
        </is>
      </c>
      <c r="B16" s="5" t="inlineStr">
        <is>
          <t>kg</t>
        </is>
      </c>
      <c r="C16" s="5" t="n">
        <v>0.1</v>
      </c>
      <c r="D16" s="5" t="inlineStr">
        <is>
          <t>IPCC 2006 Vol.5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20" customWidth="1" min="3" max="3"/>
    <col width="18" customWidth="1" min="4" max="4"/>
  </cols>
  <sheetData>
    <row r="1">
      <c r="A1" s="1" t="inlineStr">
        <is>
          <t>GHG Inventory Summary — FY 2025–26 (Main Report, REVISED_3)</t>
        </is>
      </c>
    </row>
    <row r="3">
      <c r="A3" s="4" t="inlineStr">
        <is>
          <t>Scope</t>
        </is>
      </c>
      <c r="B3" s="4" t="inlineStr">
        <is>
          <t>Source</t>
        </is>
      </c>
      <c r="C3" s="4" t="inlineStr">
        <is>
          <t>Emissions (tCO2e/yr)</t>
        </is>
      </c>
      <c r="D3" s="4" t="inlineStr">
        <is>
          <t>Share of scope (%)</t>
        </is>
      </c>
    </row>
    <row r="4">
      <c r="A4" s="5" t="inlineStr">
        <is>
          <t>Scope 1</t>
        </is>
      </c>
      <c r="B4" s="5" t="inlineStr">
        <is>
          <t>Domestic wastewater (on-site septic)</t>
        </is>
      </c>
      <c r="C4" s="5" t="n">
        <v>804.17</v>
      </c>
      <c r="D4" s="5" t="n">
        <v>83.2</v>
      </c>
    </row>
    <row r="5">
      <c r="A5" s="5" t="inlineStr">
        <is>
          <t>Scope 1</t>
        </is>
      </c>
      <c r="B5" s="5" t="inlineStr">
        <is>
          <t>College bus fleet</t>
        </is>
      </c>
      <c r="C5" s="5" t="n">
        <v>150.08</v>
      </c>
      <c r="D5" s="5" t="n">
        <v>15.5</v>
      </c>
    </row>
    <row r="6">
      <c r="A6" s="5" t="inlineStr">
        <is>
          <t>Scope 1</t>
        </is>
      </c>
      <c r="B6" s="5" t="inlineStr">
        <is>
          <t>Diesel generator</t>
        </is>
      </c>
      <c r="C6" s="5" t="n">
        <v>11.85</v>
      </c>
      <c r="D6" s="5" t="n">
        <v>1.2</v>
      </c>
    </row>
    <row r="7">
      <c r="A7" s="5" t="inlineStr">
        <is>
          <t>Scope 1</t>
        </is>
      </c>
      <c r="B7" s="5" t="inlineStr">
        <is>
          <t>Refrigerant leakage (R32)</t>
        </is>
      </c>
      <c r="C7" s="5" t="inlineStr">
        <is>
          <t>Excluded — data gap</t>
        </is>
      </c>
      <c r="D7" s="5" t="inlineStr"/>
    </row>
    <row r="8">
      <c r="A8" s="5" t="inlineStr">
        <is>
          <t>Scope 1 SUBTOTAL</t>
        </is>
      </c>
      <c r="B8" s="5" t="inlineStr"/>
      <c r="C8" s="5" t="n">
        <v>966.1</v>
      </c>
      <c r="D8" s="5" t="n">
        <v>100</v>
      </c>
    </row>
    <row r="9">
      <c r="A9" s="5" t="inlineStr">
        <is>
          <t>Scope 2</t>
        </is>
      </c>
      <c r="B9" s="5" t="inlineStr">
        <is>
          <t>Purchased electricity (gross)</t>
        </is>
      </c>
      <c r="C9" s="5" t="n">
        <v>751.99</v>
      </c>
      <c r="D9" s="5" t="n">
        <v>100</v>
      </c>
    </row>
    <row r="10">
      <c r="A10" s="5" t="inlineStr">
        <is>
          <t>Scope 2</t>
        </is>
      </c>
      <c r="B10" s="5" t="inlineStr">
        <is>
          <t>of which AC (subset, not additive)</t>
        </is>
      </c>
      <c r="C10" s="5" t="n">
        <v>495.08</v>
      </c>
      <c r="D10" s="5" t="inlineStr"/>
    </row>
    <row r="11">
      <c r="A11" s="5" t="inlineStr">
        <is>
          <t>Scope 3</t>
        </is>
      </c>
      <c r="B11" s="5" t="inlineStr">
        <is>
          <t>Student commuting (Version A)</t>
        </is>
      </c>
      <c r="C11" s="5" t="n">
        <v>1896.9</v>
      </c>
      <c r="D11" s="5" t="n">
        <v>94.8</v>
      </c>
    </row>
    <row r="12">
      <c r="A12" s="5" t="inlineStr">
        <is>
          <t>Scope 3</t>
        </is>
      </c>
      <c r="B12" s="5" t="inlineStr">
        <is>
          <t>Solid waste</t>
        </is>
      </c>
      <c r="C12" s="5" t="n">
        <v>59.5</v>
      </c>
      <c r="D12" s="5" t="n">
        <v>3</v>
      </c>
    </row>
    <row r="13">
      <c r="A13" s="5" t="inlineStr">
        <is>
          <t>Scope 3</t>
        </is>
      </c>
      <c r="B13" s="5" t="inlineStr">
        <is>
          <t>Local business travel</t>
        </is>
      </c>
      <c r="C13" s="5" t="n">
        <v>25.65</v>
      </c>
      <c r="D13" s="5" t="n">
        <v>1.3</v>
      </c>
    </row>
    <row r="14">
      <c r="A14" s="5" t="inlineStr">
        <is>
          <t>Scope 3</t>
        </is>
      </c>
      <c r="B14" s="5" t="inlineStr">
        <is>
          <t>Organised field/technical visits</t>
        </is>
      </c>
      <c r="C14" s="5" t="n">
        <v>19.6</v>
      </c>
      <c r="D14" s="5" t="n">
        <v>1</v>
      </c>
    </row>
    <row r="15">
      <c r="A15" s="5" t="inlineStr">
        <is>
          <t>Scope 3 SUBTOTAL</t>
        </is>
      </c>
      <c r="B15" s="5" t="inlineStr"/>
      <c r="C15" s="5" t="n">
        <v>2001.65</v>
      </c>
      <c r="D15" s="5" t="n">
        <v>100</v>
      </c>
    </row>
    <row r="16">
      <c r="A16" s="6" t="inlineStr">
        <is>
          <t>TOTAL FOOTPRINT</t>
        </is>
      </c>
      <c r="B16" s="6" t="inlineStr"/>
      <c r="C16" s="6" t="inlineStr">
        <is>
          <t>3719.74</t>
        </is>
      </c>
      <c r="D16" s="6" t="inlineStr"/>
    </row>
    <row r="18">
      <c r="A18" s="4" t="inlineStr">
        <is>
          <t>Indicator</t>
        </is>
      </c>
      <c r="B18" s="4" t="inlineStr">
        <is>
          <t>Value</t>
        </is>
      </c>
    </row>
    <row r="19">
      <c r="A19" s="5" t="inlineStr">
        <is>
          <t>Per-capita intensity (9,456 pop.)</t>
        </is>
      </c>
      <c r="B19" s="5" t="inlineStr">
        <is>
          <t>0.393 tCO2e/person</t>
        </is>
      </c>
    </row>
    <row r="20">
      <c r="A20" s="5" t="inlineStr">
        <is>
          <t>Green-cover sequestration</t>
        </is>
      </c>
      <c r="B20" s="5" t="inlineStr">
        <is>
          <t>24.79 tCO2e/yr (removal, not netted)</t>
        </is>
      </c>
    </row>
    <row r="21">
      <c r="A21" s="5" t="inlineStr">
        <is>
          <t>Solar avoided emissions</t>
        </is>
      </c>
      <c r="B21" s="5" t="inlineStr">
        <is>
          <t>15.42 tCO2e/yr (not netted)</t>
        </is>
      </c>
    </row>
    <row r="22">
      <c r="A22" s="5" t="inlineStr">
        <is>
          <t>Alternate commuting total (Version B)</t>
        </is>
      </c>
      <c r="B22" s="5" t="inlineStr">
        <is>
          <t>992.35 tCO2e/yr — if used, total ≈ 2,815.19</t>
        </is>
      </c>
    </row>
    <row r="24">
      <c r="A24" s="7" t="inlineStr">
        <is>
          <t>Reporting-period note: electricity &amp; DG = Jan–Dec 2025; solar = Mar 2025–Feb 2026; population/plan within FY 2025–26.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2026-10-02T16:45:07Z</dcterms:created>
  <dcterms:modified xmlns:dcterms="http://purl.org/dc/terms/" xmlns:xsi="http://www.w3.org/2001/XMLSchema-instance" xsi:type="dcterms:W3CDTF">2026-10-02T16:48:26Z</dcterms:modified>
</cp:coreProperties>
</file>