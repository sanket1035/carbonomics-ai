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Status" sheetId="2" r:id="rId6"/>
  </sheets>
  <definedNames/>
  <calcPr/>
</workbook>
</file>

<file path=xl/sharedStrings.xml><?xml version="1.0" encoding="utf-8"?>
<sst xmlns="http://schemas.openxmlformats.org/spreadsheetml/2006/main" count="122" uniqueCount="88">
  <si>
    <t>Carbonomics-AI — Test Case Log</t>
  </si>
  <si>
    <t>Module: calculate_electricity_emissions()  |  Tested by: Purva  |  Env: venv (Windows)</t>
  </si>
  <si>
    <t>Test ID</t>
  </si>
  <si>
    <t>Category</t>
  </si>
  <si>
    <t>Input Type</t>
  </si>
  <si>
    <t>Input Value</t>
  </si>
  <si>
    <t>Expected Result</t>
  </si>
  <si>
    <t>Actual Result</t>
  </si>
  <si>
    <t>Status</t>
  </si>
  <si>
    <t>Notes</t>
  </si>
  <si>
    <t>TC-01</t>
  </si>
  <si>
    <t>Normal</t>
  </si>
  <si>
    <t>Electricity</t>
  </si>
  <si>
    <t>100 kWh</t>
  </si>
  <si>
    <t>71.17 kg CO2e</t>
  </si>
  <si>
    <t>PASS</t>
  </si>
  <si>
    <t>Matches manual calculation</t>
  </si>
  <si>
    <t>TC-02</t>
  </si>
  <si>
    <t>Diesel</t>
  </si>
  <si>
    <t>50 L</t>
  </si>
  <si>
    <t>134.00 kg CO2e</t>
  </si>
  <si>
    <t>TC-03</t>
  </si>
  <si>
    <t>Petrol Vehicle</t>
  </si>
  <si>
    <t>120 km</t>
  </si>
  <si>
    <t>23.04 kg CO2e</t>
  </si>
  <si>
    <t>TC-04</t>
  </si>
  <si>
    <t>Waste</t>
  </si>
  <si>
    <t>80 kg</t>
  </si>
  <si>
    <t>152.00 kg CO2e</t>
  </si>
  <si>
    <t>TC-05</t>
  </si>
  <si>
    <t>Public Bus</t>
  </si>
  <si>
    <t>300 pkm</t>
  </si>
  <si>
    <t>31.50 kg CO2e</t>
  </si>
  <si>
    <t>TC-06</t>
  </si>
  <si>
    <t>Edge: Zero</t>
  </si>
  <si>
    <t>0</t>
  </si>
  <si>
    <t>0.00 kg CO2e</t>
  </si>
  <si>
    <t>Boundary handled</t>
  </si>
  <si>
    <t>TC-07</t>
  </si>
  <si>
    <t>Edge: Negative</t>
  </si>
  <si>
    <t>-95</t>
  </si>
  <si>
    <t>Raise ValueError</t>
  </si>
  <si>
    <t>Error: "Value cannot be negative."</t>
  </si>
  <si>
    <t>FIXED</t>
  </si>
  <si>
    <t>Retested after Sanket's fix</t>
  </si>
  <si>
    <t>TC-08</t>
  </si>
  <si>
    <t>Edge: Blank</t>
  </si>
  <si>
    <t>"" (empty)</t>
  </si>
  <si>
    <t>Error: "Input cannot be empty."</t>
  </si>
  <si>
    <t>TC-09</t>
  </si>
  <si>
    <t>Edge: Non-numeric</t>
  </si>
  <si>
    <t>"wd"</t>
  </si>
  <si>
    <t>Error: "Input must be a valid number."</t>
  </si>
  <si>
    <t>TC-10</t>
  </si>
  <si>
    <t>Full Flow</t>
  </si>
  <si>
    <t>All Activities</t>
  </si>
  <si>
    <t>Elec 120, Diesel 52, Petrol 23, EV 35, Bus 20.6/42.6, Waste 5, CH4 23, N2O 12</t>
  </si>
  <si>
    <t>Scope-wise + Total sum correctly</t>
  </si>
  <si>
    <r>
      <rPr>
        <rFont val="Arial"/>
        <color rgb="FF1F2937"/>
        <sz val="10.0"/>
      </rPr>
      <t xml:space="preserve">S1: 156.29 | S2: 85.40 | S3: 3869.84 | </t>
    </r>
    <r>
      <rPr>
        <rFont val="Arial"/>
        <b/>
        <color rgb="FF1F2937"/>
        <sz val="10.0"/>
      </rPr>
      <t>Total: 4111.53 kg CO2e</t>
    </r>
  </si>
  <si>
    <t>Multi-input flow verified</t>
  </si>
  <si>
    <t>Summary</t>
  </si>
  <si>
    <t>Total Test Cases:</t>
  </si>
  <si>
    <t>Passed:</t>
  </si>
  <si>
    <t>Fixed (Retested):</t>
  </si>
  <si>
    <t>Failed:</t>
  </si>
  <si>
    <t>Carbonomics-AI — Bug Tracker</t>
  </si>
  <si>
    <t>Bug ID</t>
  </si>
  <si>
    <t>Title</t>
  </si>
  <si>
    <t>Location</t>
  </si>
  <si>
    <t>Description</t>
  </si>
  <si>
    <t>Root Cause</t>
  </si>
  <si>
    <t>BUG-01</t>
  </si>
  <si>
    <t>Negative values accepted</t>
  </si>
  <si>
    <t>src/calculations.py</t>
  </si>
  <si>
    <t>Negative electricity value returned negative emissions instead of erroring.</t>
  </si>
  <si>
    <t>No validation inside library layer</t>
  </si>
  <si>
    <t>RESOLVED</t>
  </si>
  <si>
    <t>BUG-02</t>
  </si>
  <si>
    <t>Blank input crashed</t>
  </si>
  <si>
    <t>src/calculations.py / main.py</t>
  </si>
  <si>
    <t>Empty string input raised raw TypeError instead of clean message.</t>
  </si>
  <si>
    <t>No empty-input check before calculation</t>
  </si>
  <si>
    <t>BUG-03</t>
  </si>
  <si>
    <t>Non-numeric / None input crashed</t>
  </si>
  <si>
    <t>Non-numeric text or None input caused raw TypeError.</t>
  </si>
  <si>
    <t>No type/number validation before multiply</t>
  </si>
  <si>
    <t>Sign-off:</t>
  </si>
  <si>
    <t>Purva (Test Lead) — Pending: Rahil (QA Validator)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</si>
</sst>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F2937"/>
      <name val="Arial"/>
    </font>
    <font>
      <i/>
      <sz val="10.0"/>
      <color rgb="FF6B7280"/>
      <name val="Arial"/>
    </font>
    <font>
      <b/>
      <sz val="11.0"/>
      <color rgb="FFFFFFFF"/>
      <name val="Arial"/>
    </font>
    <font>
      <sz val="10.0"/>
      <color rgb="FF1F2937"/>
      <name val="Arial"/>
    </font>
    <font>
      <b/>
      <sz val="10.0"/>
      <color rgb="FF1E7A46"/>
      <name val="Arial"/>
    </font>
    <font>
      <b/>
      <sz val="10.0"/>
      <color rgb="FF8A6D0A"/>
      <name val="Arial"/>
    </font>
    <font>
      <b/>
      <sz val="10.0"/>
      <color rgb="FF1F2937"/>
      <name val="Arial"/>
    </font>
    <font>
      <b/>
      <sz val="10.0"/>
      <color rgb="FFB4231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6F4"/>
        <bgColor rgb="FFF3F6F4"/>
      </patternFill>
    </fill>
    <fill>
      <patternFill patternType="solid">
        <fgColor rgb="FF1F4E3D"/>
        <bgColor rgb="FF1F4E3D"/>
      </patternFill>
    </fill>
    <fill>
      <patternFill patternType="solid">
        <fgColor rgb="FFD9F2E3"/>
        <bgColor rgb="FFD9F2E3"/>
      </patternFill>
    </fill>
    <fill>
      <patternFill patternType="solid">
        <fgColor rgb="FFFFF3CD"/>
        <bgColor rgb="FFFFF3CD"/>
      </patternFill>
    </fill>
  </fills>
  <borders count="2">
    <border/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29"/>
    <col customWidth="1" min="2" max="3" width="15.0"/>
    <col customWidth="1" min="4" max="4" width="24.0"/>
    <col customWidth="1" min="5" max="5" width="22.0"/>
    <col customWidth="1" min="6" max="6" width="33.71"/>
    <col customWidth="1" min="7" max="7" width="10.0"/>
    <col customWidth="1" min="8" max="8" width="24.0"/>
    <col customWidth="1" min="9" max="26" width="8.71"/>
  </cols>
  <sheetData>
    <row r="1" ht="27.75" customHeight="1">
      <c r="A1" s="1" t="s">
        <v>0</v>
      </c>
    </row>
    <row r="2" ht="18.0" customHeight="1">
      <c r="A2" s="2" t="s">
        <v>1</v>
      </c>
    </row>
    <row r="4" ht="21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0.0" customHeight="1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14</v>
      </c>
      <c r="G5" s="5" t="s">
        <v>15</v>
      </c>
      <c r="H5" s="6" t="s">
        <v>16</v>
      </c>
    </row>
    <row r="6" ht="30.0" customHeight="1">
      <c r="A6" s="7" t="s">
        <v>17</v>
      </c>
      <c r="B6" s="7" t="s">
        <v>11</v>
      </c>
      <c r="C6" s="7" t="s">
        <v>18</v>
      </c>
      <c r="D6" s="7" t="s">
        <v>19</v>
      </c>
      <c r="E6" s="7" t="s">
        <v>20</v>
      </c>
      <c r="F6" s="7" t="s">
        <v>20</v>
      </c>
      <c r="G6" s="5" t="s">
        <v>15</v>
      </c>
      <c r="H6" s="8" t="s">
        <v>16</v>
      </c>
    </row>
    <row r="7" ht="30.0" customHeight="1">
      <c r="A7" s="4" t="s">
        <v>21</v>
      </c>
      <c r="B7" s="4" t="s">
        <v>11</v>
      </c>
      <c r="C7" s="4" t="s">
        <v>22</v>
      </c>
      <c r="D7" s="4" t="s">
        <v>23</v>
      </c>
      <c r="E7" s="4" t="s">
        <v>24</v>
      </c>
      <c r="F7" s="4" t="s">
        <v>24</v>
      </c>
      <c r="G7" s="5" t="s">
        <v>15</v>
      </c>
      <c r="H7" s="6" t="s">
        <v>16</v>
      </c>
    </row>
    <row r="8" ht="30.0" customHeight="1">
      <c r="A8" s="7" t="s">
        <v>25</v>
      </c>
      <c r="B8" s="7" t="s">
        <v>11</v>
      </c>
      <c r="C8" s="7" t="s">
        <v>26</v>
      </c>
      <c r="D8" s="7" t="s">
        <v>27</v>
      </c>
      <c r="E8" s="7" t="s">
        <v>28</v>
      </c>
      <c r="F8" s="7" t="s">
        <v>28</v>
      </c>
      <c r="G8" s="5" t="s">
        <v>15</v>
      </c>
      <c r="H8" s="8" t="s">
        <v>16</v>
      </c>
    </row>
    <row r="9" ht="30.0" customHeight="1">
      <c r="A9" s="4" t="s">
        <v>29</v>
      </c>
      <c r="B9" s="4" t="s">
        <v>11</v>
      </c>
      <c r="C9" s="4" t="s">
        <v>30</v>
      </c>
      <c r="D9" s="4" t="s">
        <v>31</v>
      </c>
      <c r="E9" s="4" t="s">
        <v>32</v>
      </c>
      <c r="F9" s="4" t="s">
        <v>32</v>
      </c>
      <c r="G9" s="5" t="s">
        <v>15</v>
      </c>
      <c r="H9" s="6" t="s">
        <v>16</v>
      </c>
    </row>
    <row r="10" ht="30.0" customHeight="1">
      <c r="A10" s="7" t="s">
        <v>33</v>
      </c>
      <c r="B10" s="7" t="s">
        <v>34</v>
      </c>
      <c r="C10" s="7" t="s">
        <v>12</v>
      </c>
      <c r="D10" s="7" t="s">
        <v>35</v>
      </c>
      <c r="E10" s="7" t="s">
        <v>36</v>
      </c>
      <c r="F10" s="7" t="s">
        <v>36</v>
      </c>
      <c r="G10" s="5" t="s">
        <v>15</v>
      </c>
      <c r="H10" s="7" t="s">
        <v>37</v>
      </c>
    </row>
    <row r="11" ht="30.0" customHeight="1">
      <c r="A11" s="4" t="s">
        <v>38</v>
      </c>
      <c r="B11" s="4" t="s">
        <v>39</v>
      </c>
      <c r="C11" s="4" t="s">
        <v>12</v>
      </c>
      <c r="D11" s="4" t="s">
        <v>40</v>
      </c>
      <c r="E11" s="4" t="s">
        <v>41</v>
      </c>
      <c r="F11" s="4" t="s">
        <v>42</v>
      </c>
      <c r="G11" s="9" t="s">
        <v>43</v>
      </c>
      <c r="H11" s="4" t="s">
        <v>44</v>
      </c>
    </row>
    <row r="12" ht="30.0" customHeight="1">
      <c r="A12" s="7" t="s">
        <v>45</v>
      </c>
      <c r="B12" s="7" t="s">
        <v>46</v>
      </c>
      <c r="C12" s="7" t="s">
        <v>22</v>
      </c>
      <c r="D12" s="7" t="s">
        <v>47</v>
      </c>
      <c r="E12" s="7" t="s">
        <v>41</v>
      </c>
      <c r="F12" s="7" t="s">
        <v>48</v>
      </c>
      <c r="G12" s="9" t="s">
        <v>43</v>
      </c>
      <c r="H12" s="7" t="s">
        <v>44</v>
      </c>
    </row>
    <row r="13" ht="30.0" customHeight="1">
      <c r="A13" s="4" t="s">
        <v>49</v>
      </c>
      <c r="B13" s="4" t="s">
        <v>50</v>
      </c>
      <c r="C13" s="4" t="s">
        <v>12</v>
      </c>
      <c r="D13" s="4" t="s">
        <v>51</v>
      </c>
      <c r="E13" s="4" t="s">
        <v>41</v>
      </c>
      <c r="F13" s="4" t="s">
        <v>52</v>
      </c>
      <c r="G13" s="9" t="s">
        <v>43</v>
      </c>
      <c r="H13" s="4" t="s">
        <v>44</v>
      </c>
    </row>
    <row r="14" ht="65.25" customHeight="1">
      <c r="A14" s="7" t="s">
        <v>53</v>
      </c>
      <c r="B14" s="7" t="s">
        <v>54</v>
      </c>
      <c r="C14" s="7" t="s">
        <v>55</v>
      </c>
      <c r="D14" s="10" t="s">
        <v>56</v>
      </c>
      <c r="E14" s="10" t="s">
        <v>57</v>
      </c>
      <c r="F14" s="11" t="s">
        <v>58</v>
      </c>
      <c r="G14" s="5" t="s">
        <v>15</v>
      </c>
      <c r="H14" s="10" t="s">
        <v>59</v>
      </c>
    </row>
    <row r="16">
      <c r="A16" s="12" t="s">
        <v>60</v>
      </c>
    </row>
    <row r="17">
      <c r="A17" s="13" t="s">
        <v>61</v>
      </c>
      <c r="B17" s="13">
        <f>COUNTA(A5:A14)</f>
        <v>10</v>
      </c>
    </row>
    <row r="18">
      <c r="A18" s="13" t="s">
        <v>62</v>
      </c>
      <c r="B18" s="14">
        <f>COUNTIF(G5:G14,"PASS")</f>
        <v>7</v>
      </c>
    </row>
    <row r="19">
      <c r="A19" s="13" t="s">
        <v>63</v>
      </c>
      <c r="B19" s="15">
        <f>COUNTIF(G5:G14,"FIXED")</f>
        <v>3</v>
      </c>
    </row>
    <row r="20">
      <c r="A20" s="13" t="s">
        <v>64</v>
      </c>
      <c r="B20" s="16">
        <f>COUNTIF(G5:G14,"FAIL")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6:B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0.0"/>
    <col customWidth="1" min="4" max="4" width="42.0"/>
    <col customWidth="1" min="5" max="5" width="32.0"/>
    <col customWidth="1" min="6" max="6" width="12.0"/>
    <col customWidth="1" min="7" max="26" width="8.71"/>
  </cols>
  <sheetData>
    <row r="1" ht="27.75" customHeight="1">
      <c r="A1" s="17" t="s">
        <v>65</v>
      </c>
    </row>
    <row r="3" ht="21.75" customHeight="1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8</v>
      </c>
    </row>
    <row r="4" ht="45.0" customHeight="1">
      <c r="A4" s="18" t="s">
        <v>71</v>
      </c>
      <c r="B4" s="19" t="s">
        <v>72</v>
      </c>
      <c r="C4" s="20" t="s">
        <v>73</v>
      </c>
      <c r="D4" s="20" t="s">
        <v>74</v>
      </c>
      <c r="E4" s="20" t="s">
        <v>75</v>
      </c>
      <c r="F4" s="5" t="s">
        <v>76</v>
      </c>
    </row>
    <row r="5" ht="45.0" customHeight="1">
      <c r="A5" s="18" t="s">
        <v>77</v>
      </c>
      <c r="B5" s="19" t="s">
        <v>78</v>
      </c>
      <c r="C5" s="20" t="s">
        <v>79</v>
      </c>
      <c r="D5" s="20" t="s">
        <v>80</v>
      </c>
      <c r="E5" s="20" t="s">
        <v>81</v>
      </c>
      <c r="F5" s="5" t="s">
        <v>76</v>
      </c>
    </row>
    <row r="6" ht="45.0" customHeight="1">
      <c r="A6" s="18" t="s">
        <v>82</v>
      </c>
      <c r="B6" s="19" t="s">
        <v>83</v>
      </c>
      <c r="C6" s="20" t="s">
        <v>79</v>
      </c>
      <c r="D6" s="20" t="s">
        <v>84</v>
      </c>
      <c r="E6" s="20" t="s">
        <v>85</v>
      </c>
      <c r="F6" s="5" t="s">
        <v>76</v>
      </c>
    </row>
    <row r="8">
      <c r="A8" s="12" t="s">
        <v>86</v>
      </c>
      <c r="B8" s="21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